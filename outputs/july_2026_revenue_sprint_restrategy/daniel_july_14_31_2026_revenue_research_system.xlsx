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fe018de7f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dea7dcd56242c2"/>
    <x:sheet xmlns:r="http://schemas.openxmlformats.org/officeDocument/2006/relationships" name="Daily Plan" sheetId="2" r:id="Rca5a30524b1942dc"/>
    <x:sheet xmlns:r="http://schemas.openxmlformats.org/officeDocument/2006/relationships" name="Daily Metrics" sheetId="3" r:id="R2a23231d19e84169"/>
    <x:sheet xmlns:r="http://schemas.openxmlformats.org/officeDocument/2006/relationships" name="Pipeline Tracker" sheetId="4" r:id="Re6bd1fb6ecf6447a"/>
    <x:sheet xmlns:r="http://schemas.openxmlformats.org/officeDocument/2006/relationships" name="Starter Prospects" sheetId="5" r:id="R20d1e78da8ed4d3e"/>
    <x:sheet xmlns:r="http://schemas.openxmlformats.org/officeDocument/2006/relationships" name="Prospect Criteria" sheetId="6" r:id="R2709590ea6134db8"/>
    <x:sheet xmlns:r="http://schemas.openxmlformats.org/officeDocument/2006/relationships" name="Offers &amp; Templates" sheetId="7" r:id="R9d20c3ddf8bc488d"/>
    <x:sheet xmlns:r="http://schemas.openxmlformats.org/officeDocument/2006/relationships" name="Gate Logic" sheetId="8" r:id="Redd11640e7654312"/>
    <x:sheet xmlns:r="http://schemas.openxmlformats.org/officeDocument/2006/relationships" name="Reminder Config" sheetId="9" r:id="R227999637f4a4707"/>
    <x:sheet xmlns:r="http://schemas.openxmlformats.org/officeDocument/2006/relationships" name="Apps Script Code" sheetId="10" r:id="Rb54c412d69cf45d4"/>
    <x:sheet xmlns:r="http://schemas.openxmlformats.org/officeDocument/2006/relationships" name="Source Notes" sheetId="11" r:id="R20dba50fb0bc4e3a"/>
    <x:sheet xmlns:r="http://schemas.openxmlformats.org/officeDocument/2006/relationships" name="Lookups" sheetId="12" r:id="R02a51f25961e418a"/>
    <x:sheet xmlns:r="http://schemas.openxmlformats.org/officeDocument/2006/relationships" name="Start Here" sheetId="13" r:id="R68ab292022864520"/>
    <x:sheet xmlns:r="http://schemas.openxmlformats.org/officeDocument/2006/relationships" name="Swim Research" sheetId="14" r:id="R8c12c05fffd54f1c"/>
    <x:sheet xmlns:r="http://schemas.openxmlformats.org/officeDocument/2006/relationships" name="Friction Library" sheetId="15" r:id="R6ee265022a49424c"/>
    <x:sheet xmlns:r="http://schemas.openxmlformats.org/officeDocument/2006/relationships" name="Lead Audit" sheetId="16" r:id="Rbc0f81beeb1841b8"/>
    <x:sheet xmlns:r="http://schemas.openxmlformats.org/officeDocument/2006/relationships" name="Cash Now Plan" sheetId="17" r:id="R14884a92e08f4304"/>
    <x:sheet xmlns:r="http://schemas.openxmlformats.org/officeDocument/2006/relationships" name="Platform Tracker" sheetId="18" r:id="R269e624ff991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#,##0"/>
    <x:numFmt numFmtId="165" formatCode="yyyy-mm-dd"/>
    <x:numFmt numFmtId="200" formatCode="&quot;$&quot;#,##0"/>
    <x:numFmt numFmtId="201" formatCode="0%"/>
  </x:numFmts>
  <x:fonts count="12">
    <x:font>
      <x:sz val="11"/>
      <x:color theme="1"/>
      <x:name val="Calibri"/>
    </x:font>
    <x:font>
      <x:b/>
      <x:sz val="18"/>
      <x:color rgb="FFFFFFFF"/>
    </x:font>
    <x:font>
      <x:i/>
      <x:color rgb="FF475569"/>
    </x:font>
    <x:font>
      <x:b/>
      <x:color rgb="FFFFFFFF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rgb="FF111827"/>
      <x:name val="Calibri"/>
    </x:font>
    <x:font>
      <x:b/>
      <x:sz val="18"/>
      <x:color rgb="FFFFFFFF"/>
      <x:name val="Calibri"/>
    </x:font>
    <x:font>
      <x:i/>
      <x:sz val="10"/>
      <x:color rgb="FF475569"/>
      <x:name val="Calibri"/>
    </x:font>
    <x:font>
      <x:b/>
      <x:sz val="11"/>
      <x:color rgb="FFFFFFFF"/>
      <x:name val="Calibri"/>
    </x:font>
    <x:font>
      <x:b/>
      <x:sz val="11"/>
      <x:color rgb="FF111827"/>
      <x:name val="Calibri"/>
    </x:font>
    <x:font>
      <x:b/>
      <x:sz val="10"/>
      <x:color rgb="FF111827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0F172A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C2410C"/>
      </x:patternFill>
    </x:fill>
    <x:fill>
      <x:patternFill patternType="solid">
        <x:fgColor rgb="FFEAF4F8"/>
      </x:patternFill>
    </x:fill>
    <x:fill>
      <x:patternFill patternType="solid">
        <x:fgColor rgb="FFD9EEF7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1" fillId="2" borderId="0" xfId="0" applyAlignment="1">
      <x:alignment vertical="center"/>
    </x:xf>
    <x:xf numFmtId="0" fontId="2" fillId="3" borderId="0" xfId="0"/>
    <x:xf numFmtId="0" fontId="3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164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164" fontId="0" fillId="6" borderId="1" xfId="0" applyAlignment="1">
      <x:alignment vertical="top" wrapText="1"/>
    </x:xf>
    <x:xf numFmtId="9" fontId="0" fillId="6" borderId="1" xfId="0" applyAlignment="1">
      <x:alignment vertical="top" wrapText="1"/>
    </x:xf>
    <x:xf numFmtId="0" fontId="3" fillId="7" borderId="1" xfId="0" applyAlignment="1">
      <x:alignment vertical="top" wrapText="1"/>
    </x:xf>
    <x:xf numFmtId="0" fontId="3" fillId="8" borderId="1" xfId="0" applyAlignment="1">
      <x:alignment vertical="top" wrapText="1"/>
    </x:xf>
    <x:xf numFmtId="165" fontId="0" fillId="5" borderId="1" xfId="0" applyAlignment="1">
      <x:alignment vertical="top" wrapText="1"/>
    </x:xf>
    <x:xf numFmtId="165" fontId="0" fillId="6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9" borderId="1" xfId="0" applyAlignment="1">
      <x:alignment vertical="top" wrapText="1"/>
    </x:xf>
    <x:xf numFmtId="0" fontId="1" fillId="2" borderId="0" xfId="0"/>
    <x:xf numFmtId="0" fontId="2" fillId="0" borderId="0" xfId="0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2" xfId="0" applyNumberFormat="1" applyFont="1" applyFill="1" applyBorder="1"/>
    <x:xf numFmtId="0" fontId="5" fillId="11" borderId="2" xfId="0" applyNumberFormat="1" applyFont="1" applyFill="1" applyBorder="1" applyAlignment="1">
      <x:alignment wrapText="1"/>
    </x:xf>
    <x:xf numFmtId="0" fontId="5" fillId="11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12" borderId="3" xfId="0" applyNumberFormat="1" applyFont="1" applyFill="1" applyBorder="1" applyAlignment="1">
      <x:alignment vertical="center" wrapText="1"/>
    </x:xf>
    <x:xf numFmtId="0" fontId="6" fillId="12" borderId="4" xfId="0" applyNumberFormat="1" applyFont="1" applyFill="1" applyBorder="1" applyAlignment="1">
      <x:alignment vertical="center" wrapText="1"/>
    </x:xf>
    <x:xf numFmtId="0" fontId="6" fillId="12" borderId="5" xfId="0" applyNumberFormat="1" applyFont="1" applyFill="1" applyBorder="1" applyAlignment="1">
      <x:alignment vertical="center" wrapText="1"/>
    </x:xf>
    <x:xf numFmtId="0" fontId="6" fillId="12" borderId="6" xfId="0" applyNumberFormat="1" applyFont="1" applyFill="1" applyBorder="1" applyAlignment="1">
      <x:alignment vertical="center" wrapText="1"/>
    </x:xf>
    <x:xf numFmtId="0" fontId="6" fillId="12" borderId="7" xfId="0" applyNumberFormat="1" applyFont="1" applyFill="1" applyBorder="1" applyAlignment="1">
      <x:alignment vertical="center" wrapText="1"/>
    </x:xf>
    <x:xf numFmtId="0" fontId="6" fillId="12" borderId="8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165" fontId="0" fillId="0" borderId="2" xfId="0" applyNumberFormat="1" applyFont="1" applyFill="1" applyBorder="1" applyAlignment="1">
      <x:alignment vertical="center" wrapText="1"/>
    </x:xf>
    <x:xf numFmtId="200" fontId="0" fillId="15" borderId="2" xfId="0" applyNumberFormat="1" applyFont="1" applyFill="1" applyBorder="1" applyAlignment="1">
      <x:alignment vertical="center" wrapText="1"/>
    </x:xf>
    <x:xf numFmtId="0" fontId="0" fillId="15" borderId="2" xfId="0" applyNumberFormat="1" applyFont="1" applyFill="1" applyBorder="1" applyAlignment="1">
      <x:alignment vertical="center" wrapText="1"/>
    </x:xf>
    <x:xf numFmtId="165" fontId="0" fillId="15" borderId="2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2" xfId="0" applyNumberFormat="1" applyFont="1" applyFill="1" applyBorder="1"/>
    <x:xf numFmtId="0" fontId="5" fillId="16" borderId="2" xfId="0" applyNumberFormat="1" applyFont="1" applyFill="1" applyBorder="1" applyAlignment="1">
      <x:alignment wrapText="1"/>
    </x:xf>
    <x:xf numFmtId="0" fontId="5" fillId="16" borderId="2" xfId="0" applyNumberFormat="1" applyFont="1" applyFill="1" applyBorder="1" applyAlignment="1">
      <x:alignment vertical="center" wrapText="1"/>
    </x:xf>
    <x:xf numFmtId="0" fontId="6" fillId="15" borderId="4" xfId="0" applyNumberFormat="1" applyFont="1" applyFill="1" applyBorder="1" applyAlignment="1">
      <x:alignment vertical="center" wrapText="1"/>
    </x:xf>
    <x:xf numFmtId="0" fontId="6" fillId="15" borderId="7" xfId="0" applyNumberFormat="1" applyFont="1" applyFill="1" applyBorder="1" applyAlignment="1">
      <x:alignment vertical="center" wrapText="1"/>
    </x:xf>
    <x:xf numFmtId="0" fontId="6" fillId="15" borderId="5" xfId="0" applyNumberFormat="1" applyFont="1" applyFill="1" applyBorder="1" applyAlignment="1">
      <x:alignment vertical="center" wrapText="1"/>
    </x:xf>
    <x:xf numFmtId="0" fontId="6" fillId="15" borderId="8" xfId="0" applyNumberFormat="1" applyFont="1" applyFill="1" applyBorder="1" applyAlignment="1">
      <x:alignment vertical="center" wrapText="1"/>
    </x:xf>
    <x:xf numFmtId="0" fontId="6" fillId="17" borderId="4" xfId="0" applyNumberFormat="1" applyFont="1" applyFill="1" applyBorder="1" applyAlignment="1">
      <x:alignment vertical="center" wrapText="1"/>
    </x:xf>
    <x:xf numFmtId="0" fontId="6" fillId="17" borderId="7" xfId="0" applyNumberFormat="1" applyFont="1" applyFill="1" applyBorder="1" applyAlignment="1">
      <x:alignment vertical="center" wrapText="1"/>
    </x:xf>
    <x:xf numFmtId="0" fontId="6" fillId="18" borderId="4" xfId="0" applyNumberFormat="1" applyFont="1" applyFill="1" applyBorder="1" applyAlignment="1">
      <x:alignment vertical="center" wrapText="1"/>
    </x:xf>
    <x:xf numFmtId="0" fontId="6" fillId="18" borderId="7" xfId="0" applyNumberFormat="1" applyFont="1" applyFill="1" applyBorder="1" applyAlignment="1">
      <x:alignment vertical="center" wrapText="1"/>
    </x:xf>
    <x:xf numFmtId="0" fontId="6" fillId="15" borderId="4" xfId="0" applyNumberFormat="1" applyFont="1" applyFill="1" applyBorder="1" applyAlignment="1">
      <x:alignment horizontal="center" vertical="center" wrapText="1"/>
    </x:xf>
    <x:xf numFmtId="0" fontId="6" fillId="15" borderId="7" xfId="0" applyNumberFormat="1" applyFont="1" applyFill="1" applyBorder="1" applyAlignment="1">
      <x:alignment horizontal="center" vertical="center" wrapText="1"/>
    </x:xf>
    <x:xf numFmtId="0" fontId="6" fillId="17" borderId="4" xfId="0" applyNumberFormat="1" applyFont="1" applyFill="1" applyBorder="1" applyAlignment="1">
      <x:alignment horizontal="center" vertical="center" wrapText="1"/>
    </x:xf>
    <x:xf numFmtId="0" fontId="6" fillId="17" borderId="7" xfId="0" applyNumberFormat="1" applyFont="1" applyFill="1" applyBorder="1" applyAlignment="1">
      <x:alignment horizontal="center" vertical="center" wrapText="1"/>
    </x:xf>
    <x:xf numFmtId="0" fontId="6" fillId="18" borderId="4" xfId="0" applyNumberFormat="1" applyFont="1" applyFill="1" applyBorder="1" applyAlignment="1">
      <x:alignment horizontal="center" vertical="center" wrapText="1"/>
    </x:xf>
    <x:xf numFmtId="0" fontId="6" fillId="18" borderId="7" xfId="0" applyNumberFormat="1" applyFont="1" applyFill="1" applyBorder="1" applyAlignment="1">
      <x:alignment horizontal="center" vertical="center" wrapText="1"/>
    </x:xf>
    <x:xf numFmtId="165" fontId="6" fillId="15" borderId="4" xfId="0" applyNumberFormat="1" applyFont="1" applyFill="1" applyBorder="1" applyAlignment="1">
      <x:alignment vertical="center" wrapText="1"/>
    </x:xf>
    <x:xf numFmtId="165" fontId="6" fillId="15" borderId="7" xfId="0" applyNumberFormat="1" applyFont="1" applyFill="1" applyBorder="1" applyAlignment="1">
      <x:alignment vertical="center" wrapText="1"/>
    </x:xf>
    <x:xf numFmtId="0" fontId="6" fillId="18" borderId="3" xfId="0" applyNumberFormat="1" applyFont="1" applyFill="1" applyBorder="1" applyAlignment="1">
      <x:alignment vertical="center" wrapText="1"/>
    </x:xf>
    <x:xf numFmtId="0" fontId="6" fillId="18" borderId="6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horizontal="center" vertical="center" wrapText="1"/>
    </x:xf>
    <x:xf numFmtId="0" fontId="11" fillId="18" borderId="6" xfId="0" applyNumberFormat="1" applyFont="1" applyFill="1" applyBorder="1" applyAlignment="1">
      <x:alignment horizontal="center" vertical="center" wrapText="1"/>
    </x:xf>
    <x:xf numFmtId="200" fontId="6" fillId="0" borderId="7" xfId="0" applyNumberFormat="1" applyFont="1" applyFill="1" applyBorder="1" applyAlignment="1">
      <x:alignment vertical="center" wrapText="1"/>
    </x:xf>
    <x:xf numFmtId="201" fontId="6" fillId="0" borderId="4" xfId="0" applyNumberFormat="1" applyFont="1" applyFill="1" applyBorder="1" applyAlignment="1">
      <x:alignment vertical="center" wrapText="1"/>
    </x:xf>
    <x:xf numFmtId="201" fontId="6" fillId="0" borderId="7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0" fontId="6" fillId="15" borderId="3" xfId="0" applyNumberFormat="1" applyFont="1" applyFill="1" applyBorder="1" applyAlignment="1">
      <x:alignment vertical="center" wrapText="1"/>
    </x:xf>
    <x:xf numFmtId="0" fontId="11" fillId="15" borderId="3" xfId="0" applyNumberFormat="1" applyFont="1" applyFill="1" applyBorder="1" applyAlignment="1">
      <x:alignment vertical="center" wrapText="1"/>
    </x:xf>
    <x:xf numFmtId="0" fontId="11" fillId="15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37e413bd84eb7" /><Relationship Type="http://schemas.openxmlformats.org/officeDocument/2006/relationships/theme" Target="/xl/theme/theme1.xml" Id="R9c909517ebcb4543" /><Relationship Type="http://schemas.openxmlformats.org/officeDocument/2006/relationships/sharedStrings" Target="/xl/sharedStrings.xml" Id="R28e69d4287154ea4" /><Relationship Type="http://schemas.openxmlformats.org/officeDocument/2006/relationships/worksheet" Target="/xl/worksheets/sheet1.xml" Id="R40dea7dcd56242c2" /><Relationship Type="http://schemas.openxmlformats.org/officeDocument/2006/relationships/worksheet" Target="/xl/worksheets/sheet2.xml" Id="Rca5a30524b1942dc" /><Relationship Type="http://schemas.openxmlformats.org/officeDocument/2006/relationships/worksheet" Target="/xl/worksheets/sheet3.xml" Id="R2a23231d19e84169" /><Relationship Type="http://schemas.openxmlformats.org/officeDocument/2006/relationships/worksheet" Target="/xl/worksheets/sheet4.xml" Id="Re6bd1fb6ecf6447a" /><Relationship Type="http://schemas.openxmlformats.org/officeDocument/2006/relationships/worksheet" Target="/xl/worksheets/sheet5.xml" Id="R20d1e78da8ed4d3e" /><Relationship Type="http://schemas.openxmlformats.org/officeDocument/2006/relationships/worksheet" Target="/xl/worksheets/sheet6.xml" Id="R2709590ea6134db8" /><Relationship Type="http://schemas.openxmlformats.org/officeDocument/2006/relationships/worksheet" Target="/xl/worksheets/sheet7.xml" Id="R9d20c3ddf8bc488d" /><Relationship Type="http://schemas.openxmlformats.org/officeDocument/2006/relationships/worksheet" Target="/xl/worksheets/sheet8.xml" Id="Redd11640e7654312" /><Relationship Type="http://schemas.openxmlformats.org/officeDocument/2006/relationships/worksheet" Target="/xl/worksheets/sheet9.xml" Id="R227999637f4a4707" /><Relationship Type="http://schemas.openxmlformats.org/officeDocument/2006/relationships/worksheet" Target="/xl/worksheets/sheet10.xml" Id="Rb54c412d69cf45d4" /><Relationship Type="http://schemas.openxmlformats.org/officeDocument/2006/relationships/worksheet" Target="/xl/worksheets/sheet11.xml" Id="R20dba50fb0bc4e3a" /><Relationship Type="http://schemas.openxmlformats.org/officeDocument/2006/relationships/worksheet" Target="/xl/worksheets/sheet12.xml" Id="R02a51f25961e418a" /><Relationship Type="http://schemas.openxmlformats.org/officeDocument/2006/relationships/worksheet" Target="/xl/worksheets/sheet13.xml" Id="R68ab292022864520" /><Relationship Type="http://schemas.openxmlformats.org/officeDocument/2006/relationships/worksheet" Target="/xl/worksheets/sheet14.xml" Id="R8c12c05fffd54f1c" /><Relationship Type="http://schemas.openxmlformats.org/officeDocument/2006/relationships/worksheet" Target="/xl/worksheets/sheet15.xml" Id="R6ee265022a49424c" /><Relationship Type="http://schemas.openxmlformats.org/officeDocument/2006/relationships/worksheet" Target="/xl/worksheets/sheet16.xml" Id="Rbc0f81beeb1841b8" /><Relationship Type="http://schemas.openxmlformats.org/officeDocument/2006/relationships/worksheet" Target="/xl/worksheets/sheet17.xml" Id="R14884a92e08f4304" /><Relationship Type="http://schemas.openxmlformats.org/officeDocument/2006/relationships/worksheet" Target="/xl/worksheets/sheet18.xml" Id="R269e624ff99145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2" customWidth="1"/>
    <x:col min="3" max="3" width="58" customWidth="1"/>
    <x:col min="4" max="4" width="56" customWidth="1"/>
    <x:col min="5" max="5" width="38" customWidth="1"/>
  </x:cols>
  <x:sheetData>
    <x:row r="1" ht="28" customHeight="1">
      <x:c r="A1" s="1" t="inlineStr">
        <x:is>
          <x:t xml:space="preserve">July 12-31, 2026 Revenue Sprint - Restrategized</x:t>
        </x:is>
      </x:c>
    </x:row>
    <x:row r="2" ht="22" customHeight="1">
      <x:c r="A2" s="2" t="str">
        <x:v>Urgent floor: collect $1,500; target: $2,000 by July 31. Direct cash conversations come first; platforms and the swim niche run as controlled parallel tests.</x:v>
      </x:c>
    </x:row>
    <x:row r="4">
      <x:c r="A4" s="3" t="inlineStr">
        <x:is>
          <x:t xml:space="preserve">Metric</x:t>
        </x:is>
      </x:c>
      <x:c r="B4" s="3" t="inlineStr">
        <x:is>
          <x:t xml:space="preserve">Value</x:t>
        </x:is>
      </x:c>
      <x:c r="C4" s="3" t="inlineStr">
        <x:is>
          <x:t xml:space="preserve">How it is calculated / why it matters</x:t>
        </x:is>
      </x:c>
    </x:row>
    <x:row r="5">
      <x:c r="A5" s="4" t="inlineStr">
        <x:is>
          <x:t xml:space="preserve">Revenue target</x:t>
        </x:is>
      </x:c>
      <x:c r="B5" s="5" t="n">
        <x:v>2000</x:v>
      </x:c>
      <x:c r="C5" s="4" t="inlineStr">
        <x:is>
          <x:t xml:space="preserve">Cash collected by Jul 31, 2026.</x:t>
        </x:is>
      </x:c>
    </x:row>
    <x:row r="6">
      <x:c r="A6" s="6" t="inlineStr">
        <x:is>
          <x:t xml:space="preserve">Cash collected</x:t>
        </x:is>
      </x:c>
      <x:c r="B6" s="7" t="n">
        <x:f>SUM('Daily Metrics'!L:L)</x:f>
        <x:v>0</x:v>
      </x:c>
      <x:c r="C6" s="6" t="inlineStr">
        <x:is>
          <x:t xml:space="preserve">Update Daily Metrics every night.</x:t>
        </x:is>
      </x:c>
    </x:row>
    <x:row r="7">
      <x:c r="A7" s="4" t="inlineStr">
        <x:is>
          <x:t xml:space="preserve">Remaining</x:t>
        </x:is>
      </x:c>
      <x:c r="B7" s="5" t="n">
        <x:f>B5-B6</x:f>
        <x:v>2000</x:v>
      </x:c>
      <x:c r="C7" s="4" t="inlineStr">
        <x:is>
          <x:t xml:space="preserve">Amount still required.</x:t>
        </x:is>
      </x:c>
    </x:row>
    <x:row r="8">
      <x:c r="A8" s="6" t="inlineStr">
        <x:is>
          <x:t xml:space="preserve">Weighted pipeline</x:t>
        </x:is>
      </x:c>
      <x:c r="B8" s="7" t="n">
        <x:f>SUM('Pipeline Tracker'!N:N)</x:f>
        <x:v>2039</x:v>
      </x:c>
      <x:c r="C8" s="6" t="inlineStr">
        <x:is>
          <x:t xml:space="preserve">Amount x probability for active deals.</x:t>
        </x:is>
      </x:c>
    </x:row>
    <x:row r="9">
      <x:c r="A9" s="4" t="inlineStr">
        <x:is>
          <x:t xml:space="preserve">Replies / conversations</x:t>
        </x:is>
      </x:c>
      <x:c r="B9" s="4" t="n">
        <x:f>SUM('Daily Metrics'!F:F)</x:f>
        <x:v>0</x:v>
      </x:c>
      <x:c r="C9" s="4" t="inlineStr">
        <x:is>
          <x:t xml:space="preserve">Daily market feedback, not vanity outreach.</x:t>
        </x:is>
      </x:c>
    </x:row>
    <x:row r="10">
      <x:c r="A10" s="6" t="inlineStr">
        <x:is>
          <x:t xml:space="preserve">Calls booked</x:t>
        </x:is>
      </x:c>
      <x:c r="B10" s="6" t="n">
        <x:f>SUM('Daily Metrics'!G:G)</x:f>
        <x:v>0</x:v>
      </x:c>
      <x:c r="C10" s="6" t="inlineStr">
        <x:is>
          <x:t xml:space="preserve">A real buying process starts here.</x:t>
        </x:is>
      </x:c>
    </x:row>
    <x:row r="11">
      <x:c r="A11" s="4" t="inlineStr">
        <x:is>
          <x:t xml:space="preserve">Proposals sent</x:t>
        </x:is>
      </x:c>
      <x:c r="B11" s="4" t="n">
        <x:f>SUM('Daily Metrics'!I:I)</x:f>
        <x:v>0</x:v>
      </x:c>
      <x:c r="C11" s="4" t="inlineStr">
        <x:is>
          <x:t xml:space="preserve">Formal paid opportunity count.</x:t>
        </x:is>
      </x:c>
    </x:row>
    <x:row r="12">
      <x:c r="A12" s="6" t="inlineStr">
        <x:is>
          <x:t xml:space="preserve">Paid audits sold</x:t>
        </x:is>
      </x:c>
      <x:c r="B12" s="6" t="n">
        <x:f>SUM('Daily Metrics'!J:J)</x:f>
        <x:v>0</x:v>
      </x:c>
      <x:c r="C12" s="6" t="inlineStr">
        <x:is>
          <x:t xml:space="preserve">Fastest smaller ticket.</x:t>
        </x:is>
      </x:c>
    </x:row>
    <x:row r="13">
      <x:c r="A13" s="4" t="inlineStr">
        <x:is>
          <x:t xml:space="preserve">Sprint deposits</x:t>
        </x:is>
      </x:c>
      <x:c r="B13" s="4" t="n">
        <x:f>SUM('Daily Metrics'!K:K)</x:f>
        <x:v>0</x:v>
      </x:c>
      <x:c r="C13" s="4" t="inlineStr">
        <x:is>
          <x:t xml:space="preserve">Best path to full $2k.</x:t>
        </x:is>
      </x:c>
    </x:row>
    <x:row r="14">
      <x:c r="A14" s="6" t="inlineStr">
        <x:is>
          <x:t xml:space="preserve">Task completion</x:t>
        </x:is>
      </x:c>
      <x:c r="B14" s="8" t="n">
        <x:f>IFERROR(COUNTIF('Daily Plan'!L:L,"Done")/COUNTIF('Daily Plan'!A:A,"&gt;0"),0)</x:f>
        <x:v>0</x:v>
      </x:c>
      <x:c r="C14" s="6" t="inlineStr">
        <x:is>
          <x:t xml:space="preserve">Execution check.</x:t>
        </x:is>
      </x:c>
    </x:row>
    <x:row r="16">
      <x:c r="A16" s="9" t="inlineStr">
        <x:is>
          <x:t xml:space="preserve">Priority</x:t>
        </x:is>
      </x:c>
      <x:c r="B16" s="9" t="inlineStr">
        <x:is>
          <x:t xml:space="preserve">Track</x:t>
        </x:is>
      </x:c>
      <x:c r="C16" s="9" t="inlineStr">
        <x:is>
          <x:t xml:space="preserve">July Role</x:t>
        </x:is>
      </x:c>
      <x:c r="D16" s="9" t="inlineStr">
        <x:is>
          <x:t xml:space="preserve">Reasoning</x:t>
        </x:is>
      </x:c>
      <x:c r="E16" s="9" t="inlineStr">
        <x:is>
          <x:t xml:space="preserve">Offer</x:t>
        </x:is>
      </x:c>
    </x:row>
    <x:row r="17">
      <x:c r="A17" s="4" t="inlineStr">
        <x:is>
          <x:t xml:space="preserve">1</x:t>
        </x:is>
      </x:c>
      <x:c r="B17" s="4" t="inlineStr">
        <x:is>
          <x:t xml:space="preserve">Warm network tech/ops gigs</x:t>
        </x:is>
      </x:c>
      <x:c r="C17" s="4" t="inlineStr">
        <x:is>
          <x:t xml:space="preserve">Primary cash path</x:t>
        </x:is>
      </x:c>
      <x:c r="D17" s="4" t="inlineStr">
        <x:is>
          <x:t xml:space="preserve">Highest short-term trust. Use people who know your work to reach founders/operators with manual workflow pain.</x:t>
        </x:is>
      </x:c>
      <x:c r="E17" s="4" t="inlineStr">
        <x:is>
          <x:t xml:space="preserve">$300-$500 audit or $1.5k-$2.5k sprint</x:t>
        </x:is>
      </x:c>
    </x:row>
    <x:row r="18">
      <x:c r="A18" s="6" t="inlineStr">
        <x:is>
          <x:t xml:space="preserve">2</x:t>
        </x:is>
      </x:c>
      <x:c r="B18" s="6" t="inlineStr">
        <x:is>
          <x:t xml:space="preserve">Agency/operator automation</x:t>
        </x:is>
      </x:c>
      <x:c r="C18" s="6" t="inlineStr">
        <x:is>
          <x:t xml:space="preserve">Secondary cash path</x:t>
        </x:is>
      </x:c>
      <x:c r="D18" s="6" t="inlineStr">
        <x:is>
          <x:t xml:space="preserve">Agencies understand onboarding/reporting pain and can justify a fixed-scope workflow sprint quickly.</x:t>
        </x:is>
      </x:c>
      <x:c r="E18" s="6" t="inlineStr">
        <x:is>
          <x:t xml:space="preserve">$400 audit or $1.5k-$2k implementation</x:t>
        </x:is>
      </x:c>
    </x:row>
    <x:row r="19">
      <x:c r="A19" s="4" t="inlineStr">
        <x:is>
          <x:t xml:space="preserve">3</x:t>
        </x:is>
      </x:c>
      <x:c r="B19" s="4" t="inlineStr">
        <x:is>
          <x:t xml:space="preserve">Western swim/sports academy</x:t>
        </x:is>
      </x:c>
      <x:c r="C19" s="4" t="inlineStr">
        <x:is>
          <x:t xml:space="preserve">Niche beachhead test</x:t>
        </x:is>
      </x:c>
      <x:c r="D19" s="4" t="inlineStr">
        <x:is>
          <x:t xml:space="preserve">Good fit with SwimBuddz proof, but cold trust is slower. Test hard for 5 days before overcommitting.</x:t>
        </x:is>
      </x:c>
      <x:c r="E19" s="4" t="inlineStr">
        <x:is>
          <x:t xml:space="preserve">$300-$500 Lead-to-Enrollment Leak Audit</x:t>
        </x:is>
      </x:c>
    </x:row>
    <x:row r="20">
      <x:c r="A20" s="6" t="inlineStr">
        <x:is>
          <x:t xml:space="preserve">4</x:t>
        </x:is>
      </x:c>
      <x:c r="B20" s="6" t="inlineStr">
        <x:is>
          <x:t xml:space="preserve">StrokeLab digital product</x:t>
        </x:is>
      </x:c>
      <x:c r="C20" s="6" t="inlineStr">
        <x:is>
          <x:t xml:space="preserve">Proof and lead magnet</x:t>
        </x:is>
      </x:c>
      <x:c r="D20" s="6" t="inlineStr">
        <x:is>
          <x:t xml:space="preserve">Useful for authority and swim niche credibility, but not the best standalone July cash bet.</x:t>
        </x:is>
      </x:c>
      <x:c r="E20" s="6" t="inlineStr">
        <x:is>
          <x:t xml:space="preserve">Free/low-ticket proof asset</x:t>
        </x:is>
      </x:c>
    </x:row>
    <x:row r="21">
      <x:c r="A21" s="4" t="inlineStr">
        <x:is>
          <x:t xml:space="preserve">5</x:t>
        </x:is>
      </x:c>
      <x:c r="B21" s="4" t="inlineStr">
        <x:is>
          <x:t xml:space="preserve">Corporate wellness / local SwimBuddz</x:t>
        </x:is>
      </x:c>
      <x:c r="C21" s="4" t="inlineStr">
        <x:is>
          <x:t xml:space="preserve">Backup channel</x:t>
        </x:is>
      </x:c>
      <x:c r="D21" s="4" t="inlineStr">
        <x:is>
          <x:t xml:space="preserve">Useful where relationships already exist. Do not let it distract from cash conversations.</x:t>
        </x:is>
      </x:c>
      <x:c r="E21" s="4" t="inlineStr">
        <x:is>
          <x:t xml:space="preserve">Corporate intro or cohort conversion</x:t>
        </x:is>
      </x:c>
    </x:row>
    <x:row r="24">
      <x:c r="A24" s="10" t="inlineStr">
        <x:is>
          <x:t xml:space="preserve">Gate Date</x:t>
        </x:is>
      </x:c>
      <x:c r="B24" s="10" t="inlineStr">
        <x:is>
          <x:t xml:space="preserve">Required Signal</x:t>
        </x:is>
      </x:c>
      <x:c r="C24" s="10" t="inlineStr">
        <x:is>
          <x:t xml:space="preserve">Decision</x:t>
        </x:is>
      </x:c>
    </x:row>
    <x:row r="25">
      <x:c r="A25" s="4" t="inlineStr">
        <x:is>
          <x:t xml:space="preserve">2026-07-16</x:t>
        </x:is>
      </x:c>
      <x:c r="B25" s="4" t="inlineStr">
        <x:is>
          <x:t xml:space="preserve">Swim/sports has 5 replies OR 2 calls OR 1 paid-audit interest</x:t>
        </x:is>
      </x:c>
      <x:c r="C25" s="4" t="inlineStr">
        <x:is>
          <x:t xml:space="preserve">If missed, reduce swim cold outreach to 20 percent and shift to warm/agency.</x:t>
        </x:is>
      </x:c>
    </x:row>
    <x:row r="26">
      <x:c r="A26" s="6" t="inlineStr">
        <x:is>
          <x:t xml:space="preserve">2026-07-20</x:t>
        </x:is>
      </x:c>
      <x:c r="B26" s="6" t="inlineStr">
        <x:is>
          <x:t xml:space="preserve">At least 1 proposal sent OR $300+ paid audit sold</x:t>
        </x:is>
      </x:c>
      <x:c r="C26" s="6" t="inlineStr">
        <x:is>
          <x:t xml:space="preserve">If missed, make direct high-trust asks and offer smaller paid audit.</x:t>
        </x:is>
      </x:c>
    </x:row>
    <x:row r="27">
      <x:c r="A27" s="4" t="inlineStr">
        <x:is>
          <x:t xml:space="preserve">2026-07-24</x:t>
        </x:is>
      </x:c>
      <x:c r="B27" s="4" t="inlineStr">
        <x:is>
          <x:t xml:space="preserve">$500+ collected OR signed sprint/proposal</x:t>
        </x:is>
      </x:c>
      <x:c r="C27" s="4" t="inlineStr">
        <x:is>
          <x:t xml:space="preserve">If missed, stop broad outreach and pursue only strongest 10 leads.</x:t>
        </x:is>
      </x:c>
    </x:row>
    <x:row r="28">
      <x:c r="A28" s="6" t="inlineStr">
        <x:is>
          <x:t xml:space="preserve">2026-07-28</x:t>
        </x:is>
      </x:c>
      <x:c r="B28" s="6" t="inlineStr">
        <x:is>
          <x:t xml:space="preserve">$1,000+ collected or committed</x:t>
        </x:is>
      </x:c>
      <x:c r="C28" s="6" t="inlineStr">
        <x:is>
          <x:t xml:space="preserve">Push implementation deposits, urgent audit delivery, and referrals.</x:t>
        </x:is>
      </x:c>
    </x:row>
    <x:row r="30">
      <x:c r="A30" s="18" t="str">
        <x:v>Where To Work In This Workbook</x:v>
      </x:c>
      <x:c r="B30" s="18"/>
      <x:c r="C30" s="18"/>
      <x:c r="D30" s="18"/>
      <x:c r="E30" s="18"/>
    </x:row>
    <x:row r="31" ht="30" customHeight="1">
      <x:c r="A31" s="23" t="str">
        <x:v>Need</x:v>
      </x:c>
      <x:c r="B31" s="23" t="str">
        <x:v>Use Sheet</x:v>
      </x:c>
      <x:c r="C31" s="23" t="str">
        <x:v>What You Produce</x:v>
      </x:c>
      <x:c r="D31" s="23" t="str">
        <x:v>Time Limit</x:v>
      </x:c>
      <x:c r="E31" s="23" t="str">
        <x:v>Rule</x:v>
      </x:c>
    </x:row>
    <x:row r="32">
      <x:c r="A32" s="43" t="str">
        <x:v>Understand today's priority</x:v>
      </x:c>
      <x:c r="B32" s="44" t="str">
        <x:v>Start Here</x:v>
      </x:c>
      <x:c r="C32" s="44" t="str">
        <x:v>One clear next action</x:v>
      </x:c>
      <x:c r="D32" s="44" t="str">
        <x:v>5 minutes</x:v>
      </x:c>
      <x:c r="E32" s="45" t="str">
        <x:v>Start here each morning.</x:v>
      </x:c>
    </x:row>
    <x:row r="33">
      <x:c r="A33" s="46" t="str">
        <x:v>Qualify a swim/sports company</x:v>
      </x:c>
      <x:c r="B33" s="47" t="str">
        <x:v>Swim Research</x:v>
      </x:c>
      <x:c r="C33" s="47" t="str">
        <x:v>Score, decision maker, pain hypothesis, next action</x:v>
      </x:c>
      <x:c r="D33" s="47" t="str">
        <x:v>15-20 minutes</x:v>
      </x:c>
      <x:c r="E33" s="48" t="str">
        <x:v>Do not message unqualified companies.</x:v>
      </x:c>
    </x:row>
    <x:row r="34">
      <x:c r="A34" s="46" t="str">
        <x:v>Identify website friction</x:v>
      </x:c>
      <x:c r="B34" s="47" t="str">
        <x:v>Friction Library</x:v>
      </x:c>
      <x:c r="C34" s="47" t="str">
        <x:v>Friction IDs and evidence</x:v>
      </x:c>
      <x:c r="D34" s="47" t="str">
        <x:v>During review</x:v>
      </x:c>
      <x:c r="E34" s="48" t="str">
        <x:v>Record only what you can observe; label assumptions.</x:v>
      </x:c>
    </x:row>
    <x:row r="35">
      <x:c r="A35" s="46" t="str">
        <x:v>Understand and sell the $400 audit</x:v>
      </x:c>
      <x:c r="B35" s="47" t="str">
        <x:v>Lead Audit</x:v>
      </x:c>
      <x:c r="C35" s="47" t="str">
        <x:v>Paid diagnostic scope and closing script</x:v>
      </x:c>
      <x:c r="D35" s="47" t="str">
        <x:v>Before calls</x:v>
      </x:c>
      <x:c r="E35" s="48" t="str">
        <x:v>One free observation only; the full audit is paid.</x:v>
      </x:c>
    </x:row>
    <x:row r="36">
      <x:c r="A36" s="46" t="str">
        <x:v>Allocate time for urgent cash</x:v>
      </x:c>
      <x:c r="B36" s="47" t="str">
        <x:v>Cash Now Plan</x:v>
      </x:c>
      <x:c r="C36" s="47" t="str">
        <x:v>Daily output targets and stop rules</x:v>
      </x:c>
      <x:c r="D36" s="47" t="str">
        <x:v>Daily</x:v>
      </x:c>
      <x:c r="E36" s="48" t="str">
        <x:v>Do not treat every channel equally.</x:v>
      </x:c>
    </x:row>
  </x:sheetData>
  <x:mergeCells>
    <x:mergeCell ref="A2:H2"/>
    <x:mergeCell ref="A1:H1"/>
    <x:mergeCell ref="A30:E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8" customWidth="1"/>
    <x:col min="3" max="3" width="11" customWidth="1"/>
    <x:col min="4" max="4" width="11" customWidth="1"/>
    <x:col min="5" max="5" width="20" customWidth="1"/>
    <x:col min="6" max="6" width="9" customWidth="1"/>
    <x:col min="7" max="7" width="28" customWidth="1"/>
    <x:col min="8" max="8" width="70" customWidth="1"/>
    <x:col min="9" max="9" width="30" customWidth="1"/>
    <x:col min="10" max="10" width="32" customWidth="1"/>
    <x:col min="11" max="11" width="24" customWidth="1"/>
    <x:col min="12" max="12" width="15" customWidth="1"/>
    <x:col min="13" max="13" width="16" customWidth="1"/>
    <x:col min="14" max="14" width="17" customWidth="1"/>
    <x:col min="15" max="15" width="34" customWidth="1"/>
    <x:col min="16" max="16" width="34" customWidth="1"/>
  </x:cols>
  <x:sheetData>
    <x:row r="1" ht="28" customHeight="1">
      <x:c r="A1" s="1" t="inlineStr">
        <x:is>
          <x:t xml:space="preserve">Day-to-Day Execution Plan: Jul 12-31, 2026</x:t>
        </x:is>
      </x:c>
    </x:row>
    <x:row r="2" ht="22" customHeight="1">
      <x:c r="A2" s="2" t="inlineStr">
        <x:is>
          <x:t xml:space="preserve">Use Status daily. Apps Script can create reminders from rows where Create Reminder is TRUE.</x:t>
        </x:is>
      </x:c>
    </x:row>
    <x:row r="4">
      <x:c r="A4" s="3" t="inlineStr">
        <x:is>
          <x:t xml:space="preserve">Date</x:t>
        </x:is>
      </x:c>
      <x:c r="B4" s="3" t="inlineStr">
        <x:is>
          <x:t xml:space="preserve">Day</x:t>
        </x:is>
      </x:c>
      <x:c r="C4" s="3" t="inlineStr">
        <x:is>
          <x:t xml:space="preserve">Start Time</x:t>
        </x:is>
      </x:c>
      <x:c r="D4" s="3" t="inlineStr">
        <x:is>
          <x:t xml:space="preserve">End Time</x:t>
        </x:is>
      </x:c>
      <x:c r="E4" s="3" t="inlineStr">
        <x:is>
          <x:t xml:space="preserve">Track</x:t>
        </x:is>
      </x:c>
      <x:c r="F4" s="3" t="inlineStr">
        <x:is>
          <x:t xml:space="preserve">Priority</x:t>
        </x:is>
      </x:c>
      <x:c r="G4" s="3" t="inlineStr">
        <x:is>
          <x:t xml:space="preserve">Task</x:t>
        </x:is>
      </x:c>
      <x:c r="H4" s="3" t="inlineStr">
        <x:is>
          <x:t xml:space="preserve">Action Steps</x:t>
        </x:is>
      </x:c>
      <x:c r="I4" s="3" t="inlineStr">
        <x:is>
          <x:t xml:space="preserve">Expected Output</x:t>
        </x:is>
      </x:c>
      <x:c r="J4" s="3" t="inlineStr">
        <x:is>
          <x:t xml:space="preserve">Success Metric</x:t>
        </x:is>
      </x:c>
      <x:c r="K4" s="3" t="inlineStr">
        <x:is>
          <x:t xml:space="preserve">Prospect / Asset</x:t>
        </x:is>
      </x:c>
      <x:c r="L4" s="3" t="inlineStr">
        <x:is>
          <x:t xml:space="preserve">Status</x:t>
        </x:is>
      </x:c>
      <x:c r="M4" s="3" t="inlineStr">
        <x:is>
          <x:t xml:space="preserve">Create Reminder</x:t>
        </x:is>
      </x:c>
      <x:c r="N4" s="3" t="inlineStr">
        <x:is>
          <x:t xml:space="preserve">Reminder Lead Mins</x:t>
        </x:is>
      </x:c>
      <x:c r="O4" s="3" t="inlineStr">
        <x:is>
          <x:t xml:space="preserve">Calendar Event ID</x:t>
        </x:is>
      </x:c>
      <x:c r="P4" s="3" t="inlineStr">
        <x:is>
          <x:t xml:space="preserve">Notes</x:t>
        </x:is>
      </x:c>
    </x:row>
    <x:row r="5">
      <x:c r="A5" s="11" t="n">
        <x:v>46215</x:v>
      </x:c>
      <x:c r="B5" s="4" t="inlineStr">
        <x:is>
          <x:t xml:space="preserve">Sun</x:t>
        </x:is>
      </x:c>
      <x:c r="C5" s="4" t="inlineStr">
        <x:is>
          <x:t xml:space="preserve">08:30</x:t>
        </x:is>
      </x:c>
      <x:c r="D5" s="4" t="inlineStr">
        <x:is>
          <x:t xml:space="preserve">09:15</x:t>
        </x:is>
      </x:c>
      <x:c r="E5" s="4" t="inlineStr">
        <x:is>
          <x:t xml:space="preserve">Strategy</x:t>
        </x:is>
      </x:c>
      <x:c r="F5" s="4" t="inlineStr">
        <x:is>
          <x:t xml:space="preserve">P0</x:t>
        </x:is>
      </x:c>
      <x:c r="G5" s="4" t="inlineStr">
        <x:is>
          <x:t xml:space="preserve">Lock July revenue rule</x:t>
        </x:is>
      </x:c>
      <x:c r="H5" s="4" t="inlineStr">
        <x:is>
          <x:t xml:space="preserve">Write the rule: $2k by Jul 31 from either one implementation sprint or 4-5 paid audits. Confirm the three tracks and the gate dates.</x:t>
        </x:is>
      </x:c>
      <x:c r="I5" s="4" t="inlineStr">
        <x:is>
          <x:t xml:space="preserve">One clear July rule</x:t>
        </x:is>
      </x:c>
      <x:c r="J5" s="4" t="inlineStr">
        <x:is>
          <x:t xml:space="preserve">Rule written and visible on Dashboard</x:t>
        </x:is>
      </x:c>
      <x:c r="K5" s="4" t="inlineStr">
        <x:is>
          <x:t xml:space="preserve">Dashboard</x:t>
        </x:is>
      </x:c>
      <x:c r="L5" s="4" t="inlineStr">
        <x:is>
          <x:t xml:space="preserve">Not Started</x:t>
        </x:is>
      </x:c>
      <x:c r="M5" s="4" t="inlineStr">
        <x:is>
          <x:t xml:space="preserve">TRUE</x:t>
        </x:is>
      </x:c>
      <x:c r="N5" s="4" t="n">
        <x:v>15</x:v>
      </x:c>
      <x:c r="O5" s="4" t="inlineStr">
        <x:is>
          <x:t xml:space="preserve"/>
        </x:is>
      </x:c>
      <x:c r="P5" s="4" t="inlineStr">
        <x:is>
          <x:t xml:space="preserve"/>
        </x:is>
      </x:c>
    </x:row>
    <x:row r="6">
      <x:c r="A6" s="12" t="n">
        <x:v>46215</x:v>
      </x:c>
      <x:c r="B6" s="6" t="inlineStr">
        <x:is>
          <x:t xml:space="preserve">Sun</x:t>
        </x:is>
      </x:c>
      <x:c r="C6" s="6" t="inlineStr">
        <x:is>
          <x:t xml:space="preserve">11:30</x:t>
        </x:is>
      </x:c>
      <x:c r="D6" s="6" t="inlineStr">
        <x:is>
          <x:t xml:space="preserve">13:00</x:t>
        </x:is>
      </x:c>
      <x:c r="E6" s="6" t="inlineStr">
        <x:is>
          <x:t xml:space="preserve">Pipeline</x:t>
        </x:is>
      </x:c>
      <x:c r="F6" s="6" t="inlineStr">
        <x:is>
          <x:t xml:space="preserve">P0</x:t>
        </x:is>
      </x:c>
      <x:c r="G6" s="6" t="inlineStr">
        <x:is>
          <x:t xml:space="preserve">Seed 40-prospect universe</x:t>
        </x:is>
      </x:c>
      <x:c r="H6" s="6" t="inlineStr">
        <x:is>
          <x:t xml:space="preserve">Add 10 warm founder/operator contacts, 15 swim/sports academy prospects, 10 agency/operator prospects, and 5 local backup buyers.</x:t>
        </x:is>
      </x:c>
      <x:c r="I6" s="6" t="inlineStr">
        <x:is>
          <x:t xml:space="preserve">40 pipeline rows</x:t>
        </x:is>
      </x:c>
      <x:c r="J6" s="6" t="inlineStr">
        <x:is>
          <x:t xml:space="preserve">40 prospects added with pain clues</x:t>
        </x:is>
      </x:c>
      <x:c r="K6" s="6" t="inlineStr">
        <x:is>
          <x:t xml:space="preserve">Pipeline Tracker</x:t>
        </x:is>
      </x:c>
      <x:c r="L6" s="6" t="inlineStr">
        <x:is>
          <x:t xml:space="preserve">Not Started</x:t>
        </x:is>
      </x:c>
      <x:c r="M6" s="6" t="inlineStr">
        <x:is>
          <x:t xml:space="preserve">TRUE</x:t>
        </x:is>
      </x:c>
      <x:c r="N6" s="6" t="n">
        <x:v>15</x:v>
      </x:c>
      <x:c r="O6" s="6" t="inlineStr">
        <x:is>
          <x:t xml:space="preserve"/>
        </x:is>
      </x:c>
      <x:c r="P6" s="6" t="inlineStr">
        <x:is>
          <x:t xml:space="preserve"/>
        </x:is>
      </x:c>
    </x:row>
    <x:row r="7">
      <x:c r="A7" s="11" t="n">
        <x:v>46215</x:v>
      </x:c>
      <x:c r="B7" s="4" t="inlineStr">
        <x:is>
          <x:t xml:space="preserve">Sun</x:t>
        </x:is>
      </x:c>
      <x:c r="C7" s="4" t="inlineStr">
        <x:is>
          <x:t xml:space="preserve">16:00</x:t>
        </x:is>
      </x:c>
      <x:c r="D7" s="4" t="inlineStr">
        <x:is>
          <x:t xml:space="preserve">17:30</x:t>
        </x:is>
      </x:c>
      <x:c r="E7" s="4" t="inlineStr">
        <x:is>
          <x:t xml:space="preserve">Offers</x:t>
        </x:is>
      </x:c>
      <x:c r="F7" s="4" t="inlineStr">
        <x:is>
          <x:t xml:space="preserve">P0</x:t>
        </x:is>
      </x:c>
      <x:c r="G7" s="4" t="inlineStr">
        <x:is>
          <x:t xml:space="preserve">Prepare offer assets</x:t>
        </x:is>
      </x:c>
      <x:c r="H7" s="4" t="inlineStr">
        <x:is>
          <x:t xml:space="preserve">Finalize warm ask, swim-school lead-to-enrollment audit, agency onboarding/reporting audit, follow-up, and paid-audit close scripts.</x:t>
        </x:is>
      </x:c>
      <x:c r="I7" s="4" t="inlineStr">
        <x:is>
          <x:t xml:space="preserve">Outreach pack ready</x:t>
        </x:is>
      </x:c>
      <x:c r="J7" s="4" t="inlineStr">
        <x:is>
          <x:t xml:space="preserve">5 reusable scripts ready</x:t>
        </x:is>
      </x:c>
      <x:c r="K7" s="4" t="inlineStr">
        <x:is>
          <x:t xml:space="preserve">Offers &amp; Templates</x:t>
        </x:is>
      </x:c>
      <x:c r="L7" s="4" t="inlineStr">
        <x:is>
          <x:t xml:space="preserve">Not Started</x:t>
        </x:is>
      </x:c>
      <x:c r="M7" s="4" t="inlineStr">
        <x:is>
          <x:t xml:space="preserve">TRUE</x:t>
        </x:is>
      </x:c>
      <x:c r="N7" s="4" t="n">
        <x:v>15</x:v>
      </x:c>
      <x:c r="O7" s="4" t="inlineStr">
        <x:is>
          <x:t xml:space="preserve"/>
        </x:is>
      </x:c>
      <x:c r="P7" s="4" t="inlineStr">
        <x:is>
          <x:t xml:space="preserve"/>
        </x:is>
      </x:c>
    </x:row>
    <x:row r="8">
      <x:c r="A8" s="12" t="n">
        <x:v>46215</x:v>
      </x:c>
      <x:c r="B8" s="6" t="inlineStr">
        <x:is>
          <x:t xml:space="preserve">Sun</x:t>
        </x:is>
      </x:c>
      <x:c r="C8" s="6" t="inlineStr">
        <x:is>
          <x:t xml:space="preserve">19:30</x:t>
        </x:is>
      </x:c>
      <x:c r="D8" s="6" t="inlineStr">
        <x:is>
          <x:t xml:space="preserve">21:00</x:t>
        </x:is>
      </x:c>
      <x:c r="E8" s="6" t="inlineStr">
        <x:is>
          <x:t xml:space="preserve">Warm Network</x:t>
        </x:is>
      </x:c>
      <x:c r="F8" s="6" t="inlineStr">
        <x:is>
          <x:t xml:space="preserve">P0</x:t>
        </x:is>
      </x:c>
      <x:c r="G8" s="6" t="inlineStr">
        <x:is>
          <x:t xml:space="preserve">Send first direct asks</x:t>
        </x:is>
      </x:c>
      <x:c r="H8" s="6" t="inlineStr">
        <x:is>
          <x:t xml:space="preserve">Send 10 warm/referral messages and 5 personalized swim/sports academy messages. Record every send in Pipeline Tracker.</x:t>
        </x:is>
      </x:c>
      <x:c r="I8" s="6" t="inlineStr">
        <x:is>
          <x:t xml:space="preserve">15 messages sent</x:t>
        </x:is>
      </x:c>
      <x:c r="J8" s="6" t="inlineStr">
        <x:is>
          <x:t xml:space="preserve">15 logged touches</x:t>
        </x:is>
      </x:c>
      <x:c r="K8" s="6" t="inlineStr">
        <x:is>
          <x:t xml:space="preserve">Warm contacts + swim prospects</x:t>
        </x:is>
      </x:c>
      <x:c r="L8" s="6" t="inlineStr">
        <x:is>
          <x:t xml:space="preserve">Not Started</x:t>
        </x:is>
      </x:c>
      <x:c r="M8" s="6" t="inlineStr">
        <x:is>
          <x:t xml:space="preserve">TRUE</x:t>
        </x:is>
      </x:c>
      <x:c r="N8" s="6" t="n">
        <x:v>15</x:v>
      </x:c>
      <x:c r="O8" s="6" t="inlineStr">
        <x:is>
          <x:t xml:space="preserve"/>
        </x:is>
      </x:c>
      <x:c r="P8" s="6" t="inlineStr">
        <x:is>
          <x:t xml:space="preserve"/>
        </x:is>
      </x:c>
    </x:row>
    <x:row r="9">
      <x:c r="A9" s="11" t="n">
        <x:v>46215</x:v>
      </x:c>
      <x:c r="B9" s="4" t="inlineStr">
        <x:is>
          <x:t xml:space="preserve">Sun</x:t>
        </x:is>
      </x:c>
      <x:c r="C9" s="4" t="inlineStr">
        <x:is>
          <x:t xml:space="preserve">21:00</x:t>
        </x:is>
      </x:c>
      <x:c r="D9" s="4" t="inlineStr">
        <x:is>
          <x:t xml:space="preserve">21:20</x:t>
        </x:is>
      </x:c>
      <x:c r="E9" s="4" t="inlineStr">
        <x:is>
          <x:t xml:space="preserve">Admin/Review</x:t>
        </x:is>
      </x:c>
      <x:c r="F9" s="4" t="inlineStr">
        <x:is>
          <x:t xml:space="preserve">P0</x:t>
        </x:is>
      </x:c>
      <x:c r="G9" s="4" t="inlineStr">
        <x:is>
          <x:t xml:space="preserve">Update daily metrics</x:t>
        </x:is>
      </x:c>
      <x:c r="H9" s="4" t="inlineStr">
        <x:is>
          <x:t xml:space="preserve">Record messages sent, replies, calls booked, cash collected, and one market signal.</x:t>
        </x:is>
      </x:c>
      <x:c r="I9" s="4" t="inlineStr">
        <x:is>
          <x:t xml:space="preserve">Day 1 metrics</x:t>
        </x:is>
      </x:c>
      <x:c r="J9" s="4" t="inlineStr">
        <x:is>
          <x:t xml:space="preserve">Daily Metrics row updated</x:t>
        </x:is>
      </x:c>
      <x:c r="K9" s="4" t="inlineStr">
        <x:is>
          <x:t xml:space="preserve">Daily Metrics</x:t>
        </x:is>
      </x:c>
      <x:c r="L9" s="4" t="inlineStr">
        <x:is>
          <x:t xml:space="preserve">Not Started</x:t>
        </x:is>
      </x:c>
      <x:c r="M9" s="4" t="inlineStr">
        <x:is>
          <x:t xml:space="preserve">TRUE</x:t>
        </x:is>
      </x:c>
      <x:c r="N9" s="4" t="n">
        <x:v>15</x:v>
      </x:c>
      <x:c r="O9" s="4" t="inlineStr">
        <x:is>
          <x:t xml:space="preserve"/>
        </x:is>
      </x:c>
      <x:c r="P9" s="4" t="inlineStr">
        <x:is>
          <x:t xml:space="preserve"/>
        </x:is>
      </x:c>
    </x:row>
    <x:row r="10">
      <x:c r="A10" s="12" t="n">
        <x:v>46216</x:v>
      </x:c>
      <x:c r="B10" s="6" t="inlineStr">
        <x:is>
          <x:t xml:space="preserve">Mon</x:t>
        </x:is>
      </x:c>
      <x:c r="C10" s="6" t="inlineStr">
        <x:is>
          <x:t xml:space="preserve">07:30</x:t>
        </x:is>
      </x:c>
      <x:c r="D10" s="6" t="inlineStr">
        <x:is>
          <x:t xml:space="preserve">08:00</x:t>
        </x:is>
      </x:c>
      <x:c r="E10" s="6" t="inlineStr">
        <x:is>
          <x:t xml:space="preserve">Admin/Review</x:t>
        </x:is>
      </x:c>
      <x:c r="F10" s="6" t="inlineStr">
        <x:is>
          <x:t xml:space="preserve">P0</x:t>
        </x:is>
      </x:c>
      <x:c r="G10" s="6" t="inlineStr">
        <x:is>
          <x:t xml:space="preserve">Morning score and reply triage</x:t>
        </x:is>
      </x:c>
      <x:c r="H10" s="6" t="inlineStr">
        <x:is>
          <x:t xml:space="preserve">Check WhatsApp, LinkedIn, email, and calendar. Pick top 10 people to move today.</x:t>
        </x:is>
      </x:c>
      <x:c r="I10" s="6" t="inlineStr">
        <x:is>
          <x:t xml:space="preserve">Priority list</x:t>
        </x:is>
      </x:c>
      <x:c r="J10" s="6" t="inlineStr">
        <x:is>
          <x:t xml:space="preserve">Top 10 next actions selected</x:t>
        </x:is>
      </x:c>
      <x:c r="K10" s="6" t="inlineStr">
        <x:is>
          <x:t xml:space="preserve">Daily Metrics</x:t>
        </x:is>
      </x:c>
      <x:c r="L10" s="6" t="inlineStr">
        <x:is>
          <x:t xml:space="preserve">Not Started</x:t>
        </x:is>
      </x:c>
      <x:c r="M10" s="6" t="inlineStr">
        <x:is>
          <x:t xml:space="preserve">TRUE</x:t>
        </x:is>
      </x:c>
      <x:c r="N10" s="6" t="n">
        <x:v>15</x:v>
      </x:c>
      <x:c r="O10" s="6" t="inlineStr">
        <x:is>
          <x:t xml:space="preserve"/>
        </x:is>
      </x:c>
      <x:c r="P10" s="6" t="inlineStr">
        <x:is>
          <x:t xml:space="preserve"/>
        </x:is>
      </x:c>
    </x:row>
    <x:row r="11">
      <x:c r="A11" s="11" t="n">
        <x:v>46216</x:v>
      </x:c>
      <x:c r="B11" s="4" t="inlineStr">
        <x:is>
          <x:t xml:space="preserve">Mon</x:t>
        </x:is>
      </x:c>
      <x:c r="C11" s="4" t="inlineStr">
        <x:is>
          <x:t xml:space="preserve">12:30</x:t>
        </x:is>
      </x:c>
      <x:c r="D11" s="4" t="inlineStr">
        <x:is>
          <x:t xml:space="preserve">13:15</x:t>
        </x:is>
      </x:c>
      <x:c r="E11" s="4" t="inlineStr">
        <x:is>
          <x:t xml:space="preserve">Warm Network</x:t>
        </x:is>
      </x:c>
      <x:c r="F11" s="4" t="inlineStr">
        <x:is>
          <x:t xml:space="preserve">P0</x:t>
        </x:is>
      </x:c>
      <x:c r="G11" s="4" t="inlineStr">
        <x:is>
          <x:t xml:space="preserve">Send 15 warm/referral asks</x:t>
        </x:is>
      </x:c>
      <x:c r="H11" s="4" t="inlineStr">
        <x:is>
          <x:t xml:space="preserve">Ask for one founder/operator intro or one painful workflow worth auditing. Keep it specific and direct.</x:t>
        </x:is>
      </x:c>
      <x:c r="I11" s="4" t="inlineStr">
        <x:is>
          <x:t xml:space="preserve">15 warm messages</x:t>
        </x:is>
      </x:c>
      <x:c r="J11" s="4" t="inlineStr">
        <x:is>
          <x:t xml:space="preserve">15 sent and logged</x:t>
        </x:is>
      </x:c>
      <x:c r="K11" s="4" t="inlineStr">
        <x:is>
          <x:t xml:space="preserve">Warm contacts</x:t>
        </x:is>
      </x:c>
      <x:c r="L11" s="4" t="inlineStr">
        <x:is>
          <x:t xml:space="preserve">Not Started</x:t>
        </x:is>
      </x:c>
      <x:c r="M11" s="4" t="inlineStr">
        <x:is>
          <x:t xml:space="preserve">TRUE</x:t>
        </x:is>
      </x:c>
      <x:c r="N11" s="4" t="n">
        <x:v>15</x:v>
      </x:c>
      <x:c r="O11" s="4" t="inlineStr">
        <x:is>
          <x:t xml:space="preserve"/>
        </x:is>
      </x:c>
      <x:c r="P11" s="4" t="inlineStr">
        <x:is>
          <x:t xml:space="preserve"/>
        </x:is>
      </x:c>
    </x:row>
    <x:row r="12">
      <x:c r="A12" s="12" t="n">
        <x:v>46216</x:v>
      </x:c>
      <x:c r="B12" s="6" t="inlineStr">
        <x:is>
          <x:t xml:space="preserve">Mon</x:t>
        </x:is>
      </x:c>
      <x:c r="C12" s="6" t="inlineStr">
        <x:is>
          <x:t xml:space="preserve">15:30</x:t>
        </x:is>
      </x:c>
      <x:c r="D12" s="6" t="inlineStr">
        <x:is>
          <x:t xml:space="preserve">17:00</x:t>
        </x:is>
      </x:c>
      <x:c r="E12" s="6" t="inlineStr">
        <x:is>
          <x:t xml:space="preserve">Swim/Sports Niche</x:t>
        </x:is>
      </x:c>
      <x:c r="F12" s="6" t="inlineStr">
        <x:is>
          <x:t xml:space="preserve">P0</x:t>
        </x:is>
      </x:c>
      <x:c r="G12" s="6" t="inlineStr">
        <x:is>
          <x:t xml:space="preserve">Record 2 Loom teardown drafts</x:t>
        </x:is>
      </x:c>
      <x:c r="H12" s="6" t="inlineStr">
        <x:is>
          <x:t xml:space="preserve">Pick 2 swim/sports prospects with visible inquiry/trial/booking leaks. Record short teardown or write detailed notes if Loom is not ready.</x:t>
        </x:is>
      </x:c>
      <x:c r="I12" s="6" t="inlineStr">
        <x:is>
          <x:t xml:space="preserve">2 teardown assets</x:t>
        </x:is>
      </x:c>
      <x:c r="J12" s="6" t="inlineStr">
        <x:is>
          <x:t xml:space="preserve">2 personalized observations ready</x:t>
        </x:is>
      </x:c>
      <x:c r="K12" s="6" t="inlineStr">
        <x:is>
          <x:t xml:space="preserve">Swim prospects</x:t>
        </x:is>
      </x:c>
      <x:c r="L12" s="6" t="inlineStr">
        <x:is>
          <x:t xml:space="preserve">Not Started</x:t>
        </x:is>
      </x:c>
      <x:c r="M12" s="6" t="inlineStr">
        <x:is>
          <x:t xml:space="preserve">TRUE</x:t>
        </x:is>
      </x:c>
      <x:c r="N12" s="6" t="n">
        <x:v>15</x:v>
      </x:c>
      <x:c r="O12" s="6" t="inlineStr">
        <x:is>
          <x:t xml:space="preserve"/>
        </x:is>
      </x:c>
      <x:c r="P12" s="6" t="inlineStr">
        <x:is>
          <x:t xml:space="preserve"/>
        </x:is>
      </x:c>
    </x:row>
    <x:row r="13">
      <x:c r="A13" s="11" t="n">
        <x:v>46216</x:v>
      </x:c>
      <x:c r="B13" s="4" t="inlineStr">
        <x:is>
          <x:t xml:space="preserve">Mon</x:t>
        </x:is>
      </x:c>
      <x:c r="C13" s="4" t="inlineStr">
        <x:is>
          <x:t xml:space="preserve">19:30</x:t>
        </x:is>
      </x:c>
      <x:c r="D13" s="4" t="inlineStr">
        <x:is>
          <x:t xml:space="preserve">21:00</x:t>
        </x:is>
      </x:c>
      <x:c r="E13" s="4" t="inlineStr">
        <x:is>
          <x:t xml:space="preserve">Agency/Operator</x:t>
        </x:is>
      </x:c>
      <x:c r="F13" s="4" t="inlineStr">
        <x:is>
          <x:t xml:space="preserve">P1</x:t>
        </x:is>
      </x:c>
      <x:c r="G13" s="4" t="inlineStr">
        <x:is>
          <x:t xml:space="preserve">Send 10 agency/operator messages</x:t>
        </x:is>
      </x:c>
      <x:c r="H13" s="4" t="inlineStr">
        <x:is>
          <x:t xml:space="preserve">Target agencies or operators with onboarding, reporting, intake, or dashboard pain. Offer a 48h workflow audit.</x:t>
        </x:is>
      </x:c>
      <x:c r="I13" s="4" t="inlineStr">
        <x:is>
          <x:t xml:space="preserve">10 messages sent</x:t>
        </x:is>
      </x:c>
      <x:c r="J13" s="4" t="inlineStr">
        <x:is>
          <x:t xml:space="preserve">10 sent and logged</x:t>
        </x:is>
      </x:c>
      <x:c r="K13" s="4" t="inlineStr">
        <x:is>
          <x:t xml:space="preserve">Agency prospects</x:t>
        </x:is>
      </x:c>
      <x:c r="L13" s="4" t="inlineStr">
        <x:is>
          <x:t xml:space="preserve">Not Started</x:t>
        </x:is>
      </x:c>
      <x:c r="M13" s="4" t="inlineStr">
        <x:is>
          <x:t xml:space="preserve">TRUE</x:t>
        </x:is>
      </x:c>
      <x:c r="N13" s="4" t="n">
        <x:v>15</x:v>
      </x:c>
      <x:c r="O13" s="4" t="inlineStr">
        <x:is>
          <x:t xml:space="preserve"/>
        </x:is>
      </x:c>
      <x:c r="P13" s="4" t="inlineStr">
        <x:is>
          <x:t xml:space="preserve"/>
        </x:is>
      </x:c>
    </x:row>
    <x:row r="14">
      <x:c r="A14" s="12" t="n">
        <x:v>46217</x:v>
      </x:c>
      <x:c r="B14" s="6" t="inlineStr">
        <x:is>
          <x:t xml:space="preserve">Tue</x:t>
        </x:is>
      </x:c>
      <x:c r="C14" s="6" t="inlineStr">
        <x:is>
          <x:t xml:space="preserve">07:30</x:t>
        </x:is>
      </x:c>
      <x:c r="D14" s="6" t="inlineStr">
        <x:is>
          <x:t xml:space="preserve">08:15</x:t>
        </x:is>
      </x:c>
      <x:c r="E14" s="6" t="inlineStr">
        <x:is>
          <x:t xml:space="preserve">Proof</x:t>
        </x:is>
      </x:c>
      <x:c r="F14" s="6" t="inlineStr">
        <x:is>
          <x:t xml:space="preserve">P0</x:t>
        </x:is>
      </x:c>
      <x:c r="G14" s="6" t="inlineStr">
        <x:is>
          <x:t xml:space="preserve">Draft SwimBuddz proof one-pager</x:t>
        </x:is>
      </x:c>
      <x:c r="H14" s="6" t="inlineStr">
        <x:is>
          <x:t xml:space="preserve">Summarize SwimBuddz OS, cohort registration, club subscription, payment/referral asks, and workflow complexity as proof of execution.</x:t>
        </x:is>
      </x:c>
      <x:c r="I14" s="6" t="inlineStr">
        <x:is>
          <x:t xml:space="preserve">Proof one-pager draft</x:t>
        </x:is>
      </x:c>
      <x:c r="J14" s="6" t="inlineStr">
        <x:is>
          <x:t xml:space="preserve">One page drafted</x:t>
        </x:is>
      </x:c>
      <x:c r="K14" s="6" t="inlineStr">
        <x:is>
          <x:t xml:space="preserve">SwimBuddz proof</x:t>
        </x:is>
      </x:c>
      <x:c r="L14" s="6" t="inlineStr">
        <x:is>
          <x:t xml:space="preserve">Not Started</x:t>
        </x:is>
      </x:c>
      <x:c r="M14" s="6" t="inlineStr">
        <x:is>
          <x:t xml:space="preserve">TRUE</x:t>
        </x:is>
      </x:c>
      <x:c r="N14" s="6" t="n">
        <x:v>15</x:v>
      </x:c>
      <x:c r="O14" s="6" t="inlineStr">
        <x:is>
          <x:t xml:space="preserve"/>
        </x:is>
      </x:c>
      <x:c r="P14" s="6" t="inlineStr">
        <x:is>
          <x:t xml:space="preserve"/>
        </x:is>
      </x:c>
    </x:row>
    <x:row r="15">
      <x:c r="A15" s="11" t="n">
        <x:v>46217</x:v>
      </x:c>
      <x:c r="B15" s="4" t="inlineStr">
        <x:is>
          <x:t xml:space="preserve">Tue</x:t>
        </x:is>
      </x:c>
      <x:c r="C15" s="4" t="inlineStr">
        <x:is>
          <x:t xml:space="preserve">12:30</x:t>
        </x:is>
      </x:c>
      <x:c r="D15" s="4" t="inlineStr">
        <x:is>
          <x:t xml:space="preserve">13:15</x:t>
        </x:is>
      </x:c>
      <x:c r="E15" s="4" t="inlineStr">
        <x:is>
          <x:t xml:space="preserve">Warm Network</x:t>
        </x:is>
      </x:c>
      <x:c r="F15" s="4" t="inlineStr">
        <x:is>
          <x:t xml:space="preserve">P0</x:t>
        </x:is>
      </x:c>
      <x:c r="G15" s="4" t="inlineStr">
        <x:is>
          <x:t xml:space="preserve">Follow up and ask for calls</x:t>
        </x:is>
      </x:c>
      <x:c r="H15" s="4" t="inlineStr">
        <x:is>
          <x:t xml:space="preserve">Follow up all replies and ask for 15-minute calls. Send 10 additional warm asks if reply volume is low.</x:t>
        </x:is>
      </x:c>
      <x:c r="I15" s="4" t="inlineStr">
        <x:is>
          <x:t xml:space="preserve">Calls requested</x:t>
        </x:is>
      </x:c>
      <x:c r="J15" s="4" t="inlineStr">
        <x:is>
          <x:t xml:space="preserve">3 calls requested/booked</x:t>
        </x:is>
      </x:c>
      <x:c r="K15" s="4" t="inlineStr">
        <x:is>
          <x:t xml:space="preserve">Warm contacts</x:t>
        </x:is>
      </x:c>
      <x:c r="L15" s="4" t="inlineStr">
        <x:is>
          <x:t xml:space="preserve">Not Started</x:t>
        </x:is>
      </x:c>
      <x:c r="M15" s="4" t="inlineStr">
        <x:is>
          <x:t xml:space="preserve">TRUE</x:t>
        </x:is>
      </x:c>
      <x:c r="N15" s="4" t="n">
        <x:v>15</x:v>
      </x:c>
      <x:c r="O15" s="4" t="inlineStr">
        <x:is>
          <x:t xml:space="preserve"/>
        </x:is>
      </x:c>
      <x:c r="P15" s="4" t="inlineStr">
        <x:is>
          <x:t xml:space="preserve"/>
        </x:is>
      </x:c>
    </x:row>
    <x:row r="16">
      <x:c r="A16" s="12" t="n">
        <x:v>46217</x:v>
      </x:c>
      <x:c r="B16" s="6" t="inlineStr">
        <x:is>
          <x:t xml:space="preserve">Tue</x:t>
        </x:is>
      </x:c>
      <x:c r="C16" s="6" t="inlineStr">
        <x:is>
          <x:t xml:space="preserve">15:30</x:t>
        </x:is>
      </x:c>
      <x:c r="D16" s="6" t="inlineStr">
        <x:is>
          <x:t xml:space="preserve">17:30</x:t>
        </x:is>
      </x:c>
      <x:c r="E16" s="6" t="inlineStr">
        <x:is>
          <x:t xml:space="preserve">Calls/Discovery</x:t>
        </x:is>
      </x:c>
      <x:c r="F16" s="6" t="inlineStr">
        <x:is>
          <x:t xml:space="preserve">P0</x:t>
        </x:is>
      </x:c>
      <x:c r="G16" s="6" t="inlineStr">
        <x:is>
          <x:t xml:space="preserve">Discovery/call block</x:t>
        </x:is>
      </x:c>
      <x:c r="H16" s="6" t="inlineStr">
        <x:is>
          <x:t xml:space="preserve">Hold booked calls or send call invitations with 2 time windows. Push toward paid audit when pain is concrete.</x:t>
        </x:is>
      </x:c>
      <x:c r="I16" s="6" t="inlineStr">
        <x:is>
          <x:t xml:space="preserve">Calls advanced</x:t>
        </x:is>
      </x:c>
      <x:c r="J16" s="6" t="inlineStr">
        <x:is>
          <x:t xml:space="preserve">2 calls booked or held</x:t>
        </x:is>
      </x:c>
      <x:c r="K16" s="6" t="inlineStr">
        <x:is>
          <x:t xml:space="preserve">Pipeline Tracker</x:t>
        </x:is>
      </x:c>
      <x:c r="L16" s="6" t="inlineStr">
        <x:is>
          <x:t xml:space="preserve">Not Started</x:t>
        </x:is>
      </x:c>
      <x:c r="M16" s="6" t="inlineStr">
        <x:is>
          <x:t xml:space="preserve">TRUE</x:t>
        </x:is>
      </x:c>
      <x:c r="N16" s="6" t="n">
        <x:v>15</x:v>
      </x:c>
      <x:c r="O16" s="6" t="inlineStr">
        <x:is>
          <x:t xml:space="preserve"/>
        </x:is>
      </x:c>
      <x:c r="P16" s="6" t="inlineStr">
        <x:is>
          <x:t xml:space="preserve"/>
        </x:is>
      </x:c>
    </x:row>
    <x:row r="17">
      <x:c r="A17" s="11" t="n">
        <x:v>46217</x:v>
      </x:c>
      <x:c r="B17" s="4" t="inlineStr">
        <x:is>
          <x:t xml:space="preserve">Tue</x:t>
        </x:is>
      </x:c>
      <x:c r="C17" s="4" t="inlineStr">
        <x:is>
          <x:t xml:space="preserve">19:30</x:t>
        </x:is>
      </x:c>
      <x:c r="D17" s="4" t="inlineStr">
        <x:is>
          <x:t xml:space="preserve">21:00</x:t>
        </x:is>
      </x:c>
      <x:c r="E17" s="4" t="inlineStr">
        <x:is>
          <x:t xml:space="preserve">Swim/Sports Niche</x:t>
        </x:is>
      </x:c>
      <x:c r="F17" s="4" t="inlineStr">
        <x:is>
          <x:t xml:space="preserve">P0</x:t>
        </x:is>
      </x:c>
      <x:c r="G17" s="4" t="inlineStr">
        <x:is>
          <x:t xml:space="preserve">Send 12 swim/sports messages</x:t>
        </x:is>
      </x:c>
      <x:c r="H17" s="4" t="inlineStr">
        <x:is>
          <x:t xml:space="preserve">Use the lead-to-enrollment leak angle. Personalize with one clue: trial, assessment, class placement, waitlist, waiver, payment, or follow-up.</x:t>
        </x:is>
      </x:c>
      <x:c r="I17" s="4" t="inlineStr">
        <x:is>
          <x:t xml:space="preserve">12 niche messages</x:t>
        </x:is>
      </x:c>
      <x:c r="J17" s="4" t="inlineStr">
        <x:is>
          <x:t xml:space="preserve">12 sent and logged</x:t>
        </x:is>
      </x:c>
      <x:c r="K17" s="4" t="inlineStr">
        <x:is>
          <x:t xml:space="preserve">Swim/sports prospects</x:t>
        </x:is>
      </x:c>
      <x:c r="L17" s="4" t="inlineStr">
        <x:is>
          <x:t xml:space="preserve">Not Started</x:t>
        </x:is>
      </x:c>
      <x:c r="M17" s="4" t="inlineStr">
        <x:is>
          <x:t xml:space="preserve">TRUE</x:t>
        </x:is>
      </x:c>
      <x:c r="N17" s="4" t="n">
        <x:v>15</x:v>
      </x:c>
      <x:c r="O17" s="4" t="inlineStr">
        <x:is>
          <x:t xml:space="preserve"/>
        </x:is>
      </x:c>
      <x:c r="P17" s="4" t="inlineStr">
        <x:is>
          <x:t xml:space="preserve"/>
        </x:is>
      </x:c>
    </x:row>
    <x:row r="18">
      <x:c r="A18" s="12" t="n">
        <x:v>46218</x:v>
      </x:c>
      <x:c r="B18" s="6" t="inlineStr">
        <x:is>
          <x:t xml:space="preserve">Wed</x:t>
        </x:is>
      </x:c>
      <x:c r="C18" s="6" t="inlineStr">
        <x:is>
          <x:t xml:space="preserve">07:30</x:t>
        </x:is>
      </x:c>
      <x:c r="D18" s="6" t="inlineStr">
        <x:is>
          <x:t xml:space="preserve">08:15</x:t>
        </x:is>
      </x:c>
      <x:c r="E18" s="6" t="inlineStr">
        <x:is>
          <x:t xml:space="preserve">Proof</x:t>
        </x:is>
      </x:c>
      <x:c r="F18" s="6" t="inlineStr">
        <x:is>
          <x:t xml:space="preserve">P0</x:t>
        </x:is>
      </x:c>
      <x:c r="G18" s="6" t="inlineStr">
        <x:is>
          <x:t xml:space="preserve">Draft tech-gig offer page</x:t>
        </x:is>
      </x:c>
      <x:c r="H18" s="6" t="inlineStr">
        <x:is>
          <x:t xml:space="preserve">Write a one-page offer for AI/backend workflow implementation: problem, deliverables, timeline, price range, proof, and call CTA.</x:t>
        </x:is>
      </x:c>
      <x:c r="I18" s="6" t="inlineStr">
        <x:is>
          <x:t xml:space="preserve">Tech offer page</x:t>
        </x:is>
      </x:c>
      <x:c r="J18" s="6" t="inlineStr">
        <x:is>
          <x:t xml:space="preserve">One offer page drafted</x:t>
        </x:is>
      </x:c>
      <x:c r="K18" s="6" t="inlineStr">
        <x:is>
          <x:t xml:space="preserve">Offer asset</x:t>
        </x:is>
      </x:c>
      <x:c r="L18" s="6" t="inlineStr">
        <x:is>
          <x:t xml:space="preserve">Not Started</x:t>
        </x:is>
      </x:c>
      <x:c r="M18" s="6" t="inlineStr">
        <x:is>
          <x:t xml:space="preserve">TRUE</x:t>
        </x:is>
      </x:c>
      <x:c r="N18" s="6" t="n">
        <x:v>15</x:v>
      </x:c>
      <x:c r="O18" s="6" t="inlineStr">
        <x:is>
          <x:t xml:space="preserve"/>
        </x:is>
      </x:c>
      <x:c r="P18" s="6" t="inlineStr">
        <x:is>
          <x:t xml:space="preserve"/>
        </x:is>
      </x:c>
    </x:row>
    <x:row r="19">
      <x:c r="A19" s="11" t="n">
        <x:v>46218</x:v>
      </x:c>
      <x:c r="B19" s="4" t="inlineStr">
        <x:is>
          <x:t xml:space="preserve">Wed</x:t>
        </x:is>
      </x:c>
      <x:c r="C19" s="4" t="inlineStr">
        <x:is>
          <x:t xml:space="preserve">12:30</x:t>
        </x:is>
      </x:c>
      <x:c r="D19" s="4" t="inlineStr">
        <x:is>
          <x:t xml:space="preserve">13:15</x:t>
        </x:is>
      </x:c>
      <x:c r="E19" s="4" t="inlineStr">
        <x:is>
          <x:t xml:space="preserve">Warm Network</x:t>
        </x:is>
      </x:c>
      <x:c r="F19" s="4" t="inlineStr">
        <x:is>
          <x:t xml:space="preserve">P0</x:t>
        </x:is>
      </x:c>
      <x:c r="G19" s="4" t="inlineStr">
        <x:is>
          <x:t xml:space="preserve">Send 15 high-trust touches</x:t>
        </x:is>
      </x:c>
      <x:c r="H19" s="4" t="inlineStr">
        <x:is>
          <x:t xml:space="preserve">Prioritize people who already know your work. Ask for specific intros to founders/operators with messy operations.</x:t>
        </x:is>
      </x:c>
      <x:c r="I19" s="4" t="inlineStr">
        <x:is>
          <x:t xml:space="preserve">15 touches</x:t>
        </x:is>
      </x:c>
      <x:c r="J19" s="4" t="inlineStr">
        <x:is>
          <x:t xml:space="preserve">15 sent and logged</x:t>
        </x:is>
      </x:c>
      <x:c r="K19" s="4" t="inlineStr">
        <x:is>
          <x:t xml:space="preserve">Warm contacts</x:t>
        </x:is>
      </x:c>
      <x:c r="L19" s="4" t="inlineStr">
        <x:is>
          <x:t xml:space="preserve">Not Started</x:t>
        </x:is>
      </x:c>
      <x:c r="M19" s="4" t="inlineStr">
        <x:is>
          <x:t xml:space="preserve">TRUE</x:t>
        </x:is>
      </x:c>
      <x:c r="N19" s="4" t="n">
        <x:v>15</x:v>
      </x:c>
      <x:c r="O19" s="4" t="inlineStr">
        <x:is>
          <x:t xml:space="preserve"/>
        </x:is>
      </x:c>
      <x:c r="P19" s="4" t="inlineStr">
        <x:is>
          <x:t xml:space="preserve"/>
        </x:is>
      </x:c>
    </x:row>
    <x:row r="20">
      <x:c r="A20" s="12" t="n">
        <x:v>46218</x:v>
      </x:c>
      <x:c r="B20" s="6" t="inlineStr">
        <x:is>
          <x:t xml:space="preserve">Wed</x:t>
        </x:is>
      </x:c>
      <x:c r="C20" s="6" t="inlineStr">
        <x:is>
          <x:t xml:space="preserve">15:30</x:t>
        </x:is>
      </x:c>
      <x:c r="D20" s="6" t="inlineStr">
        <x:is>
          <x:t xml:space="preserve">17:30</x:t>
        </x:is>
      </x:c>
      <x:c r="E20" s="6" t="inlineStr">
        <x:is>
          <x:t xml:space="preserve">Calls/Discovery</x:t>
        </x:is>
      </x:c>
      <x:c r="F20" s="6" t="inlineStr">
        <x:is>
          <x:t xml:space="preserve">P0</x:t>
        </x:is>
      </x:c>
      <x:c r="G20" s="6" t="inlineStr">
        <x:is>
          <x:t xml:space="preserve">Discovery and paid-audit asks</x:t>
        </x:is>
      </x:c>
      <x:c r="H20" s="6" t="inlineStr">
        <x:is>
          <x:t xml:space="preserve">For every serious conversation, ask: what manual workflow costs time or money weekly? Offer the 48h paid audit.</x:t>
        </x:is>
      </x:c>
      <x:c r="I20" s="6" t="inlineStr">
        <x:is>
          <x:t xml:space="preserve">Audit asks</x:t>
        </x:is>
      </x:c>
      <x:c r="J20" s="6" t="inlineStr">
        <x:is>
          <x:t xml:space="preserve">2 paid-audit asks made</x:t>
        </x:is>
      </x:c>
      <x:c r="K20" s="6" t="inlineStr">
        <x:is>
          <x:t xml:space="preserve">Pipeline Tracker</x:t>
        </x:is>
      </x:c>
      <x:c r="L20" s="6" t="inlineStr">
        <x:is>
          <x:t xml:space="preserve">Not Started</x:t>
        </x:is>
      </x:c>
      <x:c r="M20" s="6" t="inlineStr">
        <x:is>
          <x:t xml:space="preserve">TRUE</x:t>
        </x:is>
      </x:c>
      <x:c r="N20" s="6" t="n">
        <x:v>15</x:v>
      </x:c>
      <x:c r="O20" s="6" t="inlineStr">
        <x:is>
          <x:t xml:space="preserve"/>
        </x:is>
      </x:c>
      <x:c r="P20" s="6" t="inlineStr">
        <x:is>
          <x:t xml:space="preserve"/>
        </x:is>
      </x:c>
    </x:row>
    <x:row r="21">
      <x:c r="A21" s="11" t="n">
        <x:v>46218</x:v>
      </x:c>
      <x:c r="B21" s="4" t="inlineStr">
        <x:is>
          <x:t xml:space="preserve">Wed</x:t>
        </x:is>
      </x:c>
      <x:c r="C21" s="4" t="inlineStr">
        <x:is>
          <x:t xml:space="preserve">19:30</x:t>
        </x:is>
      </x:c>
      <x:c r="D21" s="4" t="inlineStr">
        <x:is>
          <x:t xml:space="preserve">21:00</x:t>
        </x:is>
      </x:c>
      <x:c r="E21" s="4" t="inlineStr">
        <x:is>
          <x:t xml:space="preserve">Agency/Operator</x:t>
        </x:is>
      </x:c>
      <x:c r="F21" s="4" t="inlineStr">
        <x:is>
          <x:t xml:space="preserve">P1</x:t>
        </x:is>
      </x:c>
      <x:c r="G21" s="4" t="inlineStr">
        <x:is>
          <x:t xml:space="preserve">Agency workflow audit push</x:t>
        </x:is>
      </x:c>
      <x:c r="H21" s="4" t="inlineStr">
        <x:is>
          <x:t xml:space="preserve">Send 10 agency/operator messages focused on client onboarding, reporting, intake, dashboard, and recurring follow-up workflows.</x:t>
        </x:is>
      </x:c>
      <x:c r="I21" s="4" t="inlineStr">
        <x:is>
          <x:t xml:space="preserve">10 agency messages</x:t>
        </x:is>
      </x:c>
      <x:c r="J21" s="4" t="inlineStr">
        <x:is>
          <x:t xml:space="preserve">10 sent and logged</x:t>
        </x:is>
      </x:c>
      <x:c r="K21" s="4" t="inlineStr">
        <x:is>
          <x:t xml:space="preserve">Agency prospects</x:t>
        </x:is>
      </x:c>
      <x:c r="L21" s="4" t="inlineStr">
        <x:is>
          <x:t xml:space="preserve">Not Started</x:t>
        </x:is>
      </x:c>
      <x:c r="M21" s="4" t="inlineStr">
        <x:is>
          <x:t xml:space="preserve">TRUE</x:t>
        </x:is>
      </x:c>
      <x:c r="N21" s="4" t="n">
        <x:v>15</x:v>
      </x:c>
      <x:c r="O21" s="4" t="inlineStr">
        <x:is>
          <x:t xml:space="preserve"/>
        </x:is>
      </x:c>
      <x:c r="P21" s="4" t="inlineStr">
        <x:is>
          <x:t xml:space="preserve"/>
        </x:is>
      </x:c>
    </x:row>
    <x:row r="22">
      <x:c r="A22" s="12" t="n">
        <x:v>46219</x:v>
      </x:c>
      <x:c r="B22" s="6" t="inlineStr">
        <x:is>
          <x:t xml:space="preserve">Thu</x:t>
        </x:is>
      </x:c>
      <x:c r="C22" s="6" t="inlineStr">
        <x:is>
          <x:t xml:space="preserve">07:30</x:t>
        </x:is>
      </x:c>
      <x:c r="D22" s="6" t="inlineStr">
        <x:is>
          <x:t xml:space="preserve">08:15</x:t>
        </x:is>
      </x:c>
      <x:c r="E22" s="6" t="inlineStr">
        <x:is>
          <x:t xml:space="preserve">Strategy</x:t>
        </x:is>
      </x:c>
      <x:c r="F22" s="6" t="inlineStr">
        <x:is>
          <x:t xml:space="preserve">P0</x:t>
        </x:is>
      </x:c>
      <x:c r="G22" s="6" t="inlineStr">
        <x:is>
          <x:t xml:space="preserve">Run swim niche gate review</x:t>
        </x:is>
      </x:c>
      <x:c r="H22" s="6" t="inlineStr">
        <x:is>
          <x:t xml:space="preserve">Count swim/sports replies, calls booked, and paid-audit interest. Keep only if there are 5 replies, 2 calls, or 1 paid-audit signal.</x:t>
        </x:is>
      </x:c>
      <x:c r="I22" s="6" t="inlineStr">
        <x:is>
          <x:t xml:space="preserve">Gate decision</x:t>
        </x:is>
      </x:c>
      <x:c r="J22" s="6" t="inlineStr">
        <x:is>
          <x:t xml:space="preserve">Gate marked Hit/Miss</x:t>
        </x:is>
      </x:c>
      <x:c r="K22" s="6" t="inlineStr">
        <x:is>
          <x:t xml:space="preserve">Gate Logic</x:t>
        </x:is>
      </x:c>
      <x:c r="L22" s="6" t="inlineStr">
        <x:is>
          <x:t xml:space="preserve">Not Started</x:t>
        </x:is>
      </x:c>
      <x:c r="M22" s="6" t="inlineStr">
        <x:is>
          <x:t xml:space="preserve">TRUE</x:t>
        </x:is>
      </x:c>
      <x:c r="N22" s="6" t="n">
        <x:v>15</x:v>
      </x:c>
      <x:c r="O22" s="6" t="inlineStr">
        <x:is>
          <x:t xml:space="preserve"/>
        </x:is>
      </x:c>
      <x:c r="P22" s="6" t="inlineStr">
        <x:is>
          <x:t xml:space="preserve"/>
        </x:is>
      </x:c>
    </x:row>
    <x:row r="23">
      <x:c r="A23" s="11" t="n">
        <x:v>46219</x:v>
      </x:c>
      <x:c r="B23" s="4" t="inlineStr">
        <x:is>
          <x:t xml:space="preserve">Thu</x:t>
        </x:is>
      </x:c>
      <x:c r="C23" s="4" t="inlineStr">
        <x:is>
          <x:t xml:space="preserve">12:30</x:t>
        </x:is>
      </x:c>
      <x:c r="D23" s="4" t="inlineStr">
        <x:is>
          <x:t xml:space="preserve">13:15</x:t>
        </x:is>
      </x:c>
      <x:c r="E23" s="4" t="inlineStr">
        <x:is>
          <x:t xml:space="preserve">Follow-up</x:t>
        </x:is>
      </x:c>
      <x:c r="F23" s="4" t="inlineStr">
        <x:is>
          <x:t xml:space="preserve">P0</x:t>
        </x:is>
      </x:c>
      <x:c r="G23" s="4" t="inlineStr">
        <x:is>
          <x:t xml:space="preserve">Follow up all non-replies</x:t>
        </x:is>
      </x:c>
      <x:c r="H23" s="4" t="inlineStr">
        <x:is>
          <x:t xml:space="preserve">Send concise follow-up to all prospects touched since Jul 12. Ask a specific yes/no question.</x:t>
        </x:is>
      </x:c>
      <x:c r="I23" s="4" t="inlineStr">
        <x:is>
          <x:t xml:space="preserve">Follow-up wave</x:t>
        </x:is>
      </x:c>
      <x:c r="J23" s="4" t="inlineStr">
        <x:is>
          <x:t xml:space="preserve">25 follow-ups logged</x:t>
        </x:is>
      </x:c>
      <x:c r="K23" s="4" t="inlineStr">
        <x:is>
          <x:t xml:space="preserve">Pipeline Tracker</x:t>
        </x:is>
      </x:c>
      <x:c r="L23" s="4" t="inlineStr">
        <x:is>
          <x:t xml:space="preserve">Not Started</x:t>
        </x:is>
      </x:c>
      <x:c r="M23" s="4" t="inlineStr">
        <x:is>
          <x:t xml:space="preserve">TRUE</x:t>
        </x:is>
      </x:c>
      <x:c r="N23" s="4" t="n">
        <x:v>15</x:v>
      </x:c>
      <x:c r="O23" s="4" t="inlineStr">
        <x:is>
          <x:t xml:space="preserve"/>
        </x:is>
      </x:c>
      <x:c r="P23" s="4" t="inlineStr">
        <x:is>
          <x:t xml:space="preserve"/>
        </x:is>
      </x:c>
    </x:row>
    <x:row r="24">
      <x:c r="A24" s="12" t="n">
        <x:v>46219</x:v>
      </x:c>
      <x:c r="B24" s="6" t="inlineStr">
        <x:is>
          <x:t xml:space="preserve">Thu</x:t>
        </x:is>
      </x:c>
      <x:c r="C24" s="6" t="inlineStr">
        <x:is>
          <x:t xml:space="preserve">15:30</x:t>
        </x:is>
      </x:c>
      <x:c r="D24" s="6" t="inlineStr">
        <x:is>
          <x:t xml:space="preserve">17:30</x:t>
        </x:is>
      </x:c>
      <x:c r="E24" s="6" t="inlineStr">
        <x:is>
          <x:t xml:space="preserve">Calls/Discovery</x:t>
        </x:is>
      </x:c>
      <x:c r="F24" s="6" t="inlineStr">
        <x:is>
          <x:t xml:space="preserve">P0</x:t>
        </x:is>
      </x:c>
      <x:c r="G24" s="6" t="inlineStr">
        <x:is>
          <x:t xml:space="preserve">Convert replies into calls</x:t>
        </x:is>
      </x:c>
      <x:c r="H24" s="6" t="inlineStr">
        <x:is>
          <x:t xml:space="preserve">Push warm and interested cold replies into call slots. Use the paid-audit close script.</x:t>
        </x:is>
      </x:c>
      <x:c r="I24" s="6" t="inlineStr">
        <x:is>
          <x:t xml:space="preserve">Call block filled</x:t>
        </x:is>
      </x:c>
      <x:c r="J24" s="6" t="inlineStr">
        <x:is>
          <x:t xml:space="preserve">2 calls booked or held</x:t>
        </x:is>
      </x:c>
      <x:c r="K24" s="6" t="inlineStr">
        <x:is>
          <x:t xml:space="preserve">Pipeline Tracker</x:t>
        </x:is>
      </x:c>
      <x:c r="L24" s="6" t="inlineStr">
        <x:is>
          <x:t xml:space="preserve">Not Started</x:t>
        </x:is>
      </x:c>
      <x:c r="M24" s="6" t="inlineStr">
        <x:is>
          <x:t xml:space="preserve">TRUE</x:t>
        </x:is>
      </x:c>
      <x:c r="N24" s="6" t="n">
        <x:v>15</x:v>
      </x:c>
      <x:c r="O24" s="6" t="inlineStr">
        <x:is>
          <x:t xml:space="preserve"/>
        </x:is>
      </x:c>
      <x:c r="P24" s="6" t="inlineStr">
        <x:is>
          <x:t xml:space="preserve"/>
        </x:is>
      </x:c>
    </x:row>
    <x:row r="25">
      <x:c r="A25" s="11" t="n">
        <x:v>46219</x:v>
      </x:c>
      <x:c r="B25" s="4" t="inlineStr">
        <x:is>
          <x:t xml:space="preserve">Thu</x:t>
        </x:is>
      </x:c>
      <x:c r="C25" s="4" t="inlineStr">
        <x:is>
          <x:t xml:space="preserve">19:30</x:t>
        </x:is>
      </x:c>
      <x:c r="D25" s="4" t="inlineStr">
        <x:is>
          <x:t xml:space="preserve">21:00</x:t>
        </x:is>
      </x:c>
      <x:c r="E25" s="4" t="inlineStr">
        <x:is>
          <x:t xml:space="preserve">Strategy</x:t>
        </x:is>
      </x:c>
      <x:c r="F25" s="4" t="inlineStr">
        <x:is>
          <x:t xml:space="preserve">P0</x:t>
        </x:is>
      </x:c>
      <x:c r="G25" s="4" t="inlineStr">
        <x:is>
          <x:t xml:space="preserve">Reallocate time based on gate</x:t>
        </x:is>
      </x:c>
      <x:c r="H25" s="4" t="inlineStr">
        <x:is>
          <x:t xml:space="preserve">If swim gate misses, shift 70 percent of time to warm network and agency/operator offers. If it hits, keep swim as 40 percent of outreach.</x:t>
        </x:is>
      </x:c>
      <x:c r="I25" s="4" t="inlineStr">
        <x:is>
          <x:t xml:space="preserve">Time split updated</x:t>
        </x:is>
      </x:c>
      <x:c r="J25" s="4" t="inlineStr">
        <x:is>
          <x:t xml:space="preserve">Next 7 days adjusted</x:t>
        </x:is>
      </x:c>
      <x:c r="K25" s="4" t="inlineStr">
        <x:is>
          <x:t xml:space="preserve">Dashboard</x:t>
        </x:is>
      </x:c>
      <x:c r="L25" s="4" t="inlineStr">
        <x:is>
          <x:t xml:space="preserve">Not Started</x:t>
        </x:is>
      </x:c>
      <x:c r="M25" s="4" t="inlineStr">
        <x:is>
          <x:t xml:space="preserve">TRUE</x:t>
        </x:is>
      </x:c>
      <x:c r="N25" s="4" t="n">
        <x:v>15</x:v>
      </x:c>
      <x:c r="O25" s="4" t="inlineStr">
        <x:is>
          <x:t xml:space="preserve"/>
        </x:is>
      </x:c>
      <x:c r="P25" s="4" t="inlineStr">
        <x:is>
          <x:t xml:space="preserve"/>
        </x:is>
      </x:c>
    </x:row>
    <x:row r="26">
      <x:c r="A26" s="12" t="n">
        <x:v>46220</x:v>
      </x:c>
      <x:c r="B26" s="6" t="inlineStr">
        <x:is>
          <x:t xml:space="preserve">Fri</x:t>
        </x:is>
      </x:c>
      <x:c r="C26" s="6" t="inlineStr">
        <x:is>
          <x:t xml:space="preserve">07:30</x:t>
        </x:is>
      </x:c>
      <x:c r="D26" s="6" t="inlineStr">
        <x:is>
          <x:t xml:space="preserve">08:00</x:t>
        </x:is>
      </x:c>
      <x:c r="E26" s="6" t="inlineStr">
        <x:is>
          <x:t xml:space="preserve">Admin/Review</x:t>
        </x:is>
      </x:c>
      <x:c r="F26" s="6" t="inlineStr">
        <x:is>
          <x:t xml:space="preserve">P0</x:t>
        </x:is>
      </x:c>
      <x:c r="G26" s="6" t="inlineStr">
        <x:is>
          <x:t xml:space="preserve">Morning pipeline review</x:t>
        </x:is>
      </x:c>
      <x:c r="H26" s="6" t="inlineStr">
        <x:is>
          <x:t xml:space="preserve">Review replies, due follow-ups, calls, and yesterday's market signal. Pick the 3 outcomes that matter today.</x:t>
        </x:is>
      </x:c>
      <x:c r="I26" s="6" t="inlineStr">
        <x:is>
          <x:t xml:space="preserve">Daily priority list</x:t>
        </x:is>
      </x:c>
      <x:c r="J26" s="6" t="inlineStr">
        <x:is>
          <x:t xml:space="preserve">3 outcomes selected</x:t>
        </x:is>
      </x:c>
      <x:c r="K26" s="6" t="inlineStr">
        <x:is>
          <x:t xml:space="preserve">Daily Metrics</x:t>
        </x:is>
      </x:c>
      <x:c r="L26" s="6" t="inlineStr">
        <x:is>
          <x:t xml:space="preserve">Not Started</x:t>
        </x:is>
      </x:c>
      <x:c r="M26" s="6" t="inlineStr">
        <x:is>
          <x:t xml:space="preserve">TRUE</x:t>
        </x:is>
      </x:c>
      <x:c r="N26" s="6" t="n">
        <x:v>15</x:v>
      </x:c>
      <x:c r="O26" s="6" t="inlineStr">
        <x:is>
          <x:t xml:space="preserve"/>
        </x:is>
      </x:c>
      <x:c r="P26" s="6" t="inlineStr">
        <x:is>
          <x:t xml:space="preserve"/>
        </x:is>
      </x:c>
    </x:row>
    <x:row r="27">
      <x:c r="A27" s="11" t="n">
        <x:v>46220</x:v>
      </x:c>
      <x:c r="B27" s="4" t="inlineStr">
        <x:is>
          <x:t xml:space="preserve">Fri</x:t>
        </x:is>
      </x:c>
      <x:c r="C27" s="4" t="inlineStr">
        <x:is>
          <x:t xml:space="preserve">12:30</x:t>
        </x:is>
      </x:c>
      <x:c r="D27" s="4" t="inlineStr">
        <x:is>
          <x:t xml:space="preserve">13:15</x:t>
        </x:is>
      </x:c>
      <x:c r="E27" s="4" t="inlineStr">
        <x:is>
          <x:t xml:space="preserve">Warm Network</x:t>
        </x:is>
      </x:c>
      <x:c r="F27" s="4" t="inlineStr">
        <x:is>
          <x:t xml:space="preserve">P0</x:t>
        </x:is>
      </x:c>
      <x:c r="G27" s="4" t="inlineStr">
        <x:is>
          <x:t xml:space="preserve">Warm direct asks and follow-ups</x:t>
        </x:is>
      </x:c>
      <x:c r="H27" s="4" t="inlineStr">
        <x:is>
          <x:t xml:space="preserve">Send 10-15 warm/referral touches or follow-ups. Ask for a call, a referral, or permission to audit one workflow.</x:t>
        </x:is>
      </x:c>
      <x:c r="I27" s="4" t="inlineStr">
        <x:is>
          <x:t xml:space="preserve">10-15 warm touches</x:t>
        </x:is>
      </x:c>
      <x:c r="J27" s="4" t="inlineStr">
        <x:is>
          <x:t xml:space="preserve">Touches logged</x:t>
        </x:is>
      </x:c>
      <x:c r="K27" s="4" t="inlineStr">
        <x:is>
          <x:t xml:space="preserve">Warm contacts</x:t>
        </x:is>
      </x:c>
      <x:c r="L27" s="4" t="inlineStr">
        <x:is>
          <x:t xml:space="preserve">Not Started</x:t>
        </x:is>
      </x:c>
      <x:c r="M27" s="4" t="inlineStr">
        <x:is>
          <x:t xml:space="preserve">TRUE</x:t>
        </x:is>
      </x:c>
      <x:c r="N27" s="4" t="n">
        <x:v>15</x:v>
      </x:c>
      <x:c r="O27" s="4" t="inlineStr">
        <x:is>
          <x:t xml:space="preserve"/>
        </x:is>
      </x:c>
      <x:c r="P27" s="4" t="inlineStr">
        <x:is>
          <x:t xml:space="preserve"/>
        </x:is>
      </x:c>
    </x:row>
    <x:row r="28">
      <x:c r="A28" s="12" t="n">
        <x:v>46220</x:v>
      </x:c>
      <x:c r="B28" s="6" t="inlineStr">
        <x:is>
          <x:t xml:space="preserve">Fri</x:t>
        </x:is>
      </x:c>
      <x:c r="C28" s="6" t="inlineStr">
        <x:is>
          <x:t xml:space="preserve">15:30</x:t>
        </x:is>
      </x:c>
      <x:c r="D28" s="6" t="inlineStr">
        <x:is>
          <x:t xml:space="preserve">17:30</x:t>
        </x:is>
      </x:c>
      <x:c r="E28" s="6" t="inlineStr">
        <x:is>
          <x:t xml:space="preserve">Calls/Discovery</x:t>
        </x:is>
      </x:c>
      <x:c r="F28" s="6" t="inlineStr">
        <x:is>
          <x:t xml:space="preserve">P0</x:t>
        </x:is>
      </x:c>
      <x:c r="G28" s="6" t="inlineStr">
        <x:is>
          <x:t xml:space="preserve">Call/proposal block</x:t>
        </x:is>
      </x:c>
      <x:c r="H28" s="6" t="inlineStr">
        <x:is>
          <x:t xml:space="preserve">Hold calls, book calls, or write proposals. Move serious prospects to a paid audit or implementation sprint.</x:t>
        </x:is>
      </x:c>
      <x:c r="I28" s="6" t="inlineStr">
        <x:is>
          <x:t xml:space="preserve">Pipeline advanced</x:t>
        </x:is>
      </x:c>
      <x:c r="J28" s="6" t="inlineStr">
        <x:is>
          <x:t xml:space="preserve">2 calls/proposals advanced</x:t>
        </x:is>
      </x:c>
      <x:c r="K28" s="6" t="inlineStr">
        <x:is>
          <x:t xml:space="preserve">Pipeline Tracker</x:t>
        </x:is>
      </x:c>
      <x:c r="L28" s="6" t="inlineStr">
        <x:is>
          <x:t xml:space="preserve">Not Started</x:t>
        </x:is>
      </x:c>
      <x:c r="M28" s="6" t="inlineStr">
        <x:is>
          <x:t xml:space="preserve">TRUE</x:t>
        </x:is>
      </x:c>
      <x:c r="N28" s="6" t="n">
        <x:v>15</x:v>
      </x:c>
      <x:c r="O28" s="6" t="inlineStr">
        <x:is>
          <x:t xml:space="preserve"/>
        </x:is>
      </x:c>
      <x:c r="P28" s="6" t="inlineStr">
        <x:is>
          <x:t xml:space="preserve"/>
        </x:is>
      </x:c>
    </x:row>
    <x:row r="29">
      <x:c r="A29" s="11" t="n">
        <x:v>46220</x:v>
      </x:c>
      <x:c r="B29" s="4" t="inlineStr">
        <x:is>
          <x:t xml:space="preserve">Fri</x:t>
        </x:is>
      </x:c>
      <x:c r="C29" s="4" t="inlineStr">
        <x:is>
          <x:t xml:space="preserve">19:30</x:t>
        </x:is>
      </x:c>
      <x:c r="D29" s="4" t="inlineStr">
        <x:is>
          <x:t xml:space="preserve">21:00</x:t>
        </x:is>
      </x:c>
      <x:c r="E29" s="4" t="inlineStr">
        <x:is>
          <x:t xml:space="preserve">Swim/Sports Niche</x:t>
        </x:is>
      </x:c>
      <x:c r="F29" s="4" t="inlineStr">
        <x:is>
          <x:t xml:space="preserve">P1</x:t>
        </x:is>
      </x:c>
      <x:c r="G29" s="4" t="inlineStr">
        <x:is>
          <x:t xml:space="preserve">Swim/sports market test outreach</x:t>
        </x:is>
      </x:c>
      <x:c r="H29" s="4" t="inlineStr">
        <x:is>
          <x:t xml:space="preserve">Send 8-12 targeted messages or 2 personalized teardowns. Only continue heavy effort if the Jul 16 gate was hit.</x:t>
        </x:is>
      </x:c>
      <x:c r="I29" s="4" t="inlineStr">
        <x:is>
          <x:t xml:space="preserve">Niche test touches</x:t>
        </x:is>
      </x:c>
      <x:c r="J29" s="4" t="inlineStr">
        <x:is>
          <x:t xml:space="preserve">8-12 sent or 2 teardowns ready</x:t>
        </x:is>
      </x:c>
      <x:c r="K29" s="4" t="inlineStr">
        <x:is>
          <x:t xml:space="preserve">Swim/sports prospects</x:t>
        </x:is>
      </x:c>
      <x:c r="L29" s="4" t="inlineStr">
        <x:is>
          <x:t xml:space="preserve">Not Started</x:t>
        </x:is>
      </x:c>
      <x:c r="M29" s="4" t="inlineStr">
        <x:is>
          <x:t xml:space="preserve">TRUE</x:t>
        </x:is>
      </x:c>
      <x:c r="N29" s="4" t="n">
        <x:v>15</x:v>
      </x:c>
      <x:c r="O29" s="4" t="inlineStr">
        <x:is>
          <x:t xml:space="preserve"/>
        </x:is>
      </x:c>
      <x:c r="P29" s="4" t="inlineStr">
        <x:is>
          <x:t xml:space="preserve"/>
        </x:is>
      </x:c>
    </x:row>
    <x:row r="30">
      <x:c r="A30" s="12" t="n">
        <x:v>46220</x:v>
      </x:c>
      <x:c r="B30" s="6" t="inlineStr">
        <x:is>
          <x:t xml:space="preserve">Fri</x:t>
        </x:is>
      </x:c>
      <x:c r="C30" s="6" t="inlineStr">
        <x:is>
          <x:t xml:space="preserve">21:00</x:t>
        </x:is>
      </x:c>
      <x:c r="D30" s="6" t="inlineStr">
        <x:is>
          <x:t xml:space="preserve">21:20</x:t>
        </x:is>
      </x:c>
      <x:c r="E30" s="6" t="inlineStr">
        <x:is>
          <x:t xml:space="preserve">Admin/Review</x:t>
        </x:is>
      </x:c>
      <x:c r="F30" s="6" t="inlineStr">
        <x:is>
          <x:t xml:space="preserve">P0</x:t>
        </x:is>
      </x:c>
      <x:c r="G30" s="6" t="inlineStr">
        <x:is>
          <x:t xml:space="preserve">Update metrics and market signal</x:t>
        </x:is>
      </x:c>
      <x:c r="H30" s="6" t="inlineStr">
        <x:is>
          <x:t xml:space="preserve">Record sends, replies, calls, proposals, cash collected, and what the market said back.</x:t>
        </x:is>
      </x:c>
      <x:c r="I30" s="6" t="inlineStr">
        <x:is>
          <x:t xml:space="preserve">Metrics updated</x:t>
        </x:is>
      </x:c>
      <x:c r="J30" s="6" t="inlineStr">
        <x:is>
          <x:t xml:space="preserve">Daily Metrics row updated</x:t>
        </x:is>
      </x:c>
      <x:c r="K30" s="6" t="inlineStr">
        <x:is>
          <x:t xml:space="preserve">Daily Metrics</x:t>
        </x:is>
      </x:c>
      <x:c r="L30" s="6" t="inlineStr">
        <x:is>
          <x:t xml:space="preserve">Not Started</x:t>
        </x:is>
      </x:c>
      <x:c r="M30" s="6" t="inlineStr">
        <x:is>
          <x:t xml:space="preserve">TRUE</x:t>
        </x:is>
      </x:c>
      <x:c r="N30" s="6" t="n">
        <x:v>15</x:v>
      </x:c>
      <x:c r="O30" s="6" t="inlineStr">
        <x:is>
          <x:t xml:space="preserve"/>
        </x:is>
      </x:c>
      <x:c r="P30" s="6" t="inlineStr">
        <x:is>
          <x:t xml:space="preserve"/>
        </x:is>
      </x:c>
    </x:row>
    <x:row r="31">
      <x:c r="A31" s="11" t="n">
        <x:v>46221</x:v>
      </x:c>
      <x:c r="B31" s="4" t="inlineStr">
        <x:is>
          <x:t xml:space="preserve">Sat</x:t>
        </x:is>
      </x:c>
      <x:c r="C31" s="4" t="inlineStr">
        <x:is>
          <x:t xml:space="preserve">09:00</x:t>
        </x:is>
      </x:c>
      <x:c r="D31" s="4" t="inlineStr">
        <x:is>
          <x:t xml:space="preserve">10:00</x:t>
        </x:is>
      </x:c>
      <x:c r="E31" s="4" t="inlineStr">
        <x:is>
          <x:t xml:space="preserve">Admin/Review</x:t>
        </x:is>
      </x:c>
      <x:c r="F31" s="4" t="inlineStr">
        <x:is>
          <x:t xml:space="preserve">P0</x:t>
        </x:is>
      </x:c>
      <x:c r="G31" s="4" t="inlineStr">
        <x:is>
          <x:t xml:space="preserve">Weekend pipeline cleanup</x:t>
        </x:is>
      </x:c>
      <x:c r="H31" s="4" t="inlineStr">
        <x:is>
          <x:t xml:space="preserve">Clean stages, mark dead leads, prioritize top 15, and prepare Monday follow-ups.</x:t>
        </x:is>
      </x:c>
      <x:c r="I31" s="4" t="inlineStr">
        <x:is>
          <x:t xml:space="preserve">Clean pipeline</x:t>
        </x:is>
      </x:c>
      <x:c r="J31" s="4" t="inlineStr">
        <x:is>
          <x:t xml:space="preserve">Top 15 ranked</x:t>
        </x:is>
      </x:c>
      <x:c r="K31" s="4" t="inlineStr">
        <x:is>
          <x:t xml:space="preserve">Pipeline Tracker</x:t>
        </x:is>
      </x:c>
      <x:c r="L31" s="4" t="inlineStr">
        <x:is>
          <x:t xml:space="preserve">Not Started</x:t>
        </x:is>
      </x:c>
      <x:c r="M31" s="4" t="inlineStr">
        <x:is>
          <x:t xml:space="preserve">TRUE</x:t>
        </x:is>
      </x:c>
      <x:c r="N31" s="4" t="n">
        <x:v>15</x:v>
      </x:c>
      <x:c r="O31" s="4" t="inlineStr">
        <x:is>
          <x:t xml:space="preserve"/>
        </x:is>
      </x:c>
      <x:c r="P31" s="4" t="inlineStr">
        <x:is>
          <x:t xml:space="preserve"/>
        </x:is>
      </x:c>
    </x:row>
    <x:row r="32">
      <x:c r="A32" s="12" t="n">
        <x:v>46221</x:v>
      </x:c>
      <x:c r="B32" s="6" t="inlineStr">
        <x:is>
          <x:t xml:space="preserve">Sat</x:t>
        </x:is>
      </x:c>
      <x:c r="C32" s="6" t="inlineStr">
        <x:is>
          <x:t xml:space="preserve">12:00</x:t>
        </x:is>
      </x:c>
      <x:c r="D32" s="6" t="inlineStr">
        <x:is>
          <x:t xml:space="preserve">13:00</x:t>
        </x:is>
      </x:c>
      <x:c r="E32" s="6" t="inlineStr">
        <x:is>
          <x:t xml:space="preserve">Follow-up</x:t>
        </x:is>
      </x:c>
      <x:c r="F32" s="6" t="inlineStr">
        <x:is>
          <x:t xml:space="preserve">P0</x:t>
        </x:is>
      </x:c>
      <x:c r="G32" s="6" t="inlineStr">
        <x:is>
          <x:t xml:space="preserve">Weekend follow-ups</x:t>
        </x:is>
      </x:c>
      <x:c r="H32" s="6" t="inlineStr">
        <x:is>
          <x:t xml:space="preserve">Send lighter follow-ups and referral asks. Avoid long cold pitches.</x:t>
        </x:is>
      </x:c>
      <x:c r="I32" s="6" t="inlineStr">
        <x:is>
          <x:t xml:space="preserve">Follow-ups sent</x:t>
        </x:is>
      </x:c>
      <x:c r="J32" s="6" t="inlineStr">
        <x:is>
          <x:t xml:space="preserve">10 follow-ups logged</x:t>
        </x:is>
      </x:c>
      <x:c r="K32" s="6" t="inlineStr">
        <x:is>
          <x:t xml:space="preserve">Pipeline Tracker</x:t>
        </x:is>
      </x:c>
      <x:c r="L32" s="6" t="inlineStr">
        <x:is>
          <x:t xml:space="preserve">Not Started</x:t>
        </x:is>
      </x:c>
      <x:c r="M32" s="6" t="inlineStr">
        <x:is>
          <x:t xml:space="preserve">TRUE</x:t>
        </x:is>
      </x:c>
      <x:c r="N32" s="6" t="n">
        <x:v>15</x:v>
      </x:c>
      <x:c r="O32" s="6" t="inlineStr">
        <x:is>
          <x:t xml:space="preserve"/>
        </x:is>
      </x:c>
      <x:c r="P32" s="6" t="inlineStr">
        <x:is>
          <x:t xml:space="preserve"/>
        </x:is>
      </x:c>
    </x:row>
    <x:row r="33">
      <x:c r="A33" s="11" t="n">
        <x:v>46221</x:v>
      </x:c>
      <x:c r="B33" s="4" t="inlineStr">
        <x:is>
          <x:t xml:space="preserve">Sat</x:t>
        </x:is>
      </x:c>
      <x:c r="C33" s="4" t="inlineStr">
        <x:is>
          <x:t xml:space="preserve">16:00</x:t>
        </x:is>
      </x:c>
      <x:c r="D33" s="4" t="inlineStr">
        <x:is>
          <x:t xml:space="preserve">17:30</x:t>
        </x:is>
      </x:c>
      <x:c r="E33" s="4" t="inlineStr">
        <x:is>
          <x:t xml:space="preserve">Proof/Delivery</x:t>
        </x:is>
      </x:c>
      <x:c r="F33" s="4" t="inlineStr">
        <x:is>
          <x:t xml:space="preserve">P1</x:t>
        </x:is>
      </x:c>
      <x:c r="G33" s="4" t="inlineStr">
        <x:is>
          <x:t xml:space="preserve">Proof asset or paid audit delivery</x:t>
        </x:is>
      </x:c>
      <x:c r="H33" s="4" t="inlineStr">
        <x:is>
          <x:t xml:space="preserve">Create one proof asset, Loom teardown, audit map, or implementation proposal that can be reused.</x:t>
        </x:is>
      </x:c>
      <x:c r="I33" s="4" t="inlineStr">
        <x:is>
          <x:t xml:space="preserve">Reusable asset</x:t>
        </x:is>
      </x:c>
      <x:c r="J33" s="4" t="inlineStr">
        <x:is>
          <x:t xml:space="preserve">1 asset finished</x:t>
        </x:is>
      </x:c>
      <x:c r="K33" s="4" t="inlineStr">
        <x:is>
          <x:t xml:space="preserve">Proof assets</x:t>
        </x:is>
      </x:c>
      <x:c r="L33" s="4" t="inlineStr">
        <x:is>
          <x:t xml:space="preserve">Not Started</x:t>
        </x:is>
      </x:c>
      <x:c r="M33" s="4" t="inlineStr">
        <x:is>
          <x:t xml:space="preserve">TRUE</x:t>
        </x:is>
      </x:c>
      <x:c r="N33" s="4" t="n">
        <x:v>15</x:v>
      </x:c>
      <x:c r="O33" s="4" t="inlineStr">
        <x:is>
          <x:t xml:space="preserve"/>
        </x:is>
      </x:c>
      <x:c r="P33" s="4" t="inlineStr">
        <x:is>
          <x:t xml:space="preserve"/>
        </x:is>
      </x:c>
    </x:row>
    <x:row r="34">
      <x:c r="A34" s="12" t="n">
        <x:v>46221</x:v>
      </x:c>
      <x:c r="B34" s="6" t="inlineStr">
        <x:is>
          <x:t xml:space="preserve">Sat</x:t>
        </x:is>
      </x:c>
      <x:c r="C34" s="6" t="inlineStr">
        <x:is>
          <x:t xml:space="preserve">19:30</x:t>
        </x:is>
      </x:c>
      <x:c r="D34" s="6" t="inlineStr">
        <x:is>
          <x:t xml:space="preserve">20:30</x:t>
        </x:is>
      </x:c>
      <x:c r="E34" s="6" t="inlineStr">
        <x:is>
          <x:t xml:space="preserve">Admin/Review</x:t>
        </x:is>
      </x:c>
      <x:c r="F34" s="6" t="inlineStr">
        <x:is>
          <x:t xml:space="preserve">P0</x:t>
        </x:is>
      </x:c>
      <x:c r="G34" s="6" t="inlineStr">
        <x:is>
          <x:t xml:space="preserve">Weekly scorecard</x:t>
        </x:is>
      </x:c>
      <x:c r="H34" s="6" t="inlineStr">
        <x:is>
          <x:t xml:space="preserve">Score messages, replies, calls, proposals, cash, and next-week allocation. Cut weak channels fast.</x:t>
        </x:is>
      </x:c>
      <x:c r="I34" s="6" t="inlineStr">
        <x:is>
          <x:t xml:space="preserve">Scorecard</x:t>
        </x:is>
      </x:c>
      <x:c r="J34" s="6" t="inlineStr">
        <x:is>
          <x:t xml:space="preserve">Allocation updated</x:t>
        </x:is>
      </x:c>
      <x:c r="K34" s="6" t="inlineStr">
        <x:is>
          <x:t xml:space="preserve">Daily Metrics</x:t>
        </x:is>
      </x:c>
      <x:c r="L34" s="6" t="inlineStr">
        <x:is>
          <x:t xml:space="preserve">Not Started</x:t>
        </x:is>
      </x:c>
      <x:c r="M34" s="6" t="inlineStr">
        <x:is>
          <x:t xml:space="preserve">TRUE</x:t>
        </x:is>
      </x:c>
      <x:c r="N34" s="6" t="n">
        <x:v>15</x:v>
      </x:c>
      <x:c r="O34" s="6" t="inlineStr">
        <x:is>
          <x:t xml:space="preserve"/>
        </x:is>
      </x:c>
      <x:c r="P34" s="6" t="inlineStr">
        <x:is>
          <x:t xml:space="preserve"/>
        </x:is>
      </x:c>
    </x:row>
    <x:row r="35">
      <x:c r="A35" s="11" t="n">
        <x:v>46222</x:v>
      </x:c>
      <x:c r="B35" s="4" t="inlineStr">
        <x:is>
          <x:t xml:space="preserve">Sun</x:t>
        </x:is>
      </x:c>
      <x:c r="C35" s="4" t="inlineStr">
        <x:is>
          <x:t xml:space="preserve">09:00</x:t>
        </x:is>
      </x:c>
      <x:c r="D35" s="4" t="inlineStr">
        <x:is>
          <x:t xml:space="preserve">10:00</x:t>
        </x:is>
      </x:c>
      <x:c r="E35" s="4" t="inlineStr">
        <x:is>
          <x:t xml:space="preserve">Admin/Review</x:t>
        </x:is>
      </x:c>
      <x:c r="F35" s="4" t="inlineStr">
        <x:is>
          <x:t xml:space="preserve">P0</x:t>
        </x:is>
      </x:c>
      <x:c r="G35" s="4" t="inlineStr">
        <x:is>
          <x:t xml:space="preserve">Weekend pipeline cleanup</x:t>
        </x:is>
      </x:c>
      <x:c r="H35" s="4" t="inlineStr">
        <x:is>
          <x:t xml:space="preserve">Clean stages, mark dead leads, prioritize top 15, and prepare Monday follow-ups.</x:t>
        </x:is>
      </x:c>
      <x:c r="I35" s="4" t="inlineStr">
        <x:is>
          <x:t xml:space="preserve">Clean pipeline</x:t>
        </x:is>
      </x:c>
      <x:c r="J35" s="4" t="inlineStr">
        <x:is>
          <x:t xml:space="preserve">Top 15 ranked</x:t>
        </x:is>
      </x:c>
      <x:c r="K35" s="4" t="inlineStr">
        <x:is>
          <x:t xml:space="preserve">Pipeline Tracker</x:t>
        </x:is>
      </x:c>
      <x:c r="L35" s="4" t="inlineStr">
        <x:is>
          <x:t xml:space="preserve">Not Started</x:t>
        </x:is>
      </x:c>
      <x:c r="M35" s="4" t="inlineStr">
        <x:is>
          <x:t xml:space="preserve">TRUE</x:t>
        </x:is>
      </x:c>
      <x:c r="N35" s="4" t="n">
        <x:v>15</x:v>
      </x:c>
      <x:c r="O35" s="4" t="inlineStr">
        <x:is>
          <x:t xml:space="preserve"/>
        </x:is>
      </x:c>
      <x:c r="P35" s="4" t="inlineStr">
        <x:is>
          <x:t xml:space="preserve"/>
        </x:is>
      </x:c>
    </x:row>
    <x:row r="36">
      <x:c r="A36" s="12" t="n">
        <x:v>46222</x:v>
      </x:c>
      <x:c r="B36" s="6" t="inlineStr">
        <x:is>
          <x:t xml:space="preserve">Sun</x:t>
        </x:is>
      </x:c>
      <x:c r="C36" s="6" t="inlineStr">
        <x:is>
          <x:t xml:space="preserve">12:00</x:t>
        </x:is>
      </x:c>
      <x:c r="D36" s="6" t="inlineStr">
        <x:is>
          <x:t xml:space="preserve">13:00</x:t>
        </x:is>
      </x:c>
      <x:c r="E36" s="6" t="inlineStr">
        <x:is>
          <x:t xml:space="preserve">Follow-up</x:t>
        </x:is>
      </x:c>
      <x:c r="F36" s="6" t="inlineStr">
        <x:is>
          <x:t xml:space="preserve">P0</x:t>
        </x:is>
      </x:c>
      <x:c r="G36" s="6" t="inlineStr">
        <x:is>
          <x:t xml:space="preserve">Weekend follow-ups</x:t>
        </x:is>
      </x:c>
      <x:c r="H36" s="6" t="inlineStr">
        <x:is>
          <x:t xml:space="preserve">Send lighter follow-ups and referral asks. Avoid long cold pitches.</x:t>
        </x:is>
      </x:c>
      <x:c r="I36" s="6" t="inlineStr">
        <x:is>
          <x:t xml:space="preserve">Follow-ups sent</x:t>
        </x:is>
      </x:c>
      <x:c r="J36" s="6" t="inlineStr">
        <x:is>
          <x:t xml:space="preserve">10 follow-ups logged</x:t>
        </x:is>
      </x:c>
      <x:c r="K36" s="6" t="inlineStr">
        <x:is>
          <x:t xml:space="preserve">Pipeline Tracker</x:t>
        </x:is>
      </x:c>
      <x:c r="L36" s="6" t="inlineStr">
        <x:is>
          <x:t xml:space="preserve">Not Started</x:t>
        </x:is>
      </x:c>
      <x:c r="M36" s="6" t="inlineStr">
        <x:is>
          <x:t xml:space="preserve">TRUE</x:t>
        </x:is>
      </x:c>
      <x:c r="N36" s="6" t="n">
        <x:v>15</x:v>
      </x:c>
      <x:c r="O36" s="6" t="inlineStr">
        <x:is>
          <x:t xml:space="preserve"/>
        </x:is>
      </x:c>
      <x:c r="P36" s="6" t="inlineStr">
        <x:is>
          <x:t xml:space="preserve"/>
        </x:is>
      </x:c>
    </x:row>
    <x:row r="37">
      <x:c r="A37" s="11" t="n">
        <x:v>46222</x:v>
      </x:c>
      <x:c r="B37" s="4" t="inlineStr">
        <x:is>
          <x:t xml:space="preserve">Sun</x:t>
        </x:is>
      </x:c>
      <x:c r="C37" s="4" t="inlineStr">
        <x:is>
          <x:t xml:space="preserve">16:00</x:t>
        </x:is>
      </x:c>
      <x:c r="D37" s="4" t="inlineStr">
        <x:is>
          <x:t xml:space="preserve">17:30</x:t>
        </x:is>
      </x:c>
      <x:c r="E37" s="4" t="inlineStr">
        <x:is>
          <x:t xml:space="preserve">Proof/Delivery</x:t>
        </x:is>
      </x:c>
      <x:c r="F37" s="4" t="inlineStr">
        <x:is>
          <x:t xml:space="preserve">P1</x:t>
        </x:is>
      </x:c>
      <x:c r="G37" s="4" t="inlineStr">
        <x:is>
          <x:t xml:space="preserve">Proof asset or paid audit delivery</x:t>
        </x:is>
      </x:c>
      <x:c r="H37" s="4" t="inlineStr">
        <x:is>
          <x:t xml:space="preserve">Create one proof asset, Loom teardown, audit map, or implementation proposal that can be reused.</x:t>
        </x:is>
      </x:c>
      <x:c r="I37" s="4" t="inlineStr">
        <x:is>
          <x:t xml:space="preserve">Reusable asset</x:t>
        </x:is>
      </x:c>
      <x:c r="J37" s="4" t="inlineStr">
        <x:is>
          <x:t xml:space="preserve">1 asset finished</x:t>
        </x:is>
      </x:c>
      <x:c r="K37" s="4" t="inlineStr">
        <x:is>
          <x:t xml:space="preserve">Proof assets</x:t>
        </x:is>
      </x:c>
      <x:c r="L37" s="4" t="inlineStr">
        <x:is>
          <x:t xml:space="preserve">Not Started</x:t>
        </x:is>
      </x:c>
      <x:c r="M37" s="4" t="inlineStr">
        <x:is>
          <x:t xml:space="preserve">TRUE</x:t>
        </x:is>
      </x:c>
      <x:c r="N37" s="4" t="n">
        <x:v>15</x:v>
      </x:c>
      <x:c r="O37" s="4" t="inlineStr">
        <x:is>
          <x:t xml:space="preserve"/>
        </x:is>
      </x:c>
      <x:c r="P37" s="4" t="inlineStr">
        <x:is>
          <x:t xml:space="preserve"/>
        </x:is>
      </x:c>
    </x:row>
    <x:row r="38">
      <x:c r="A38" s="12" t="n">
        <x:v>46222</x:v>
      </x:c>
      <x:c r="B38" s="6" t="inlineStr">
        <x:is>
          <x:t xml:space="preserve">Sun</x:t>
        </x:is>
      </x:c>
      <x:c r="C38" s="6" t="inlineStr">
        <x:is>
          <x:t xml:space="preserve">19:30</x:t>
        </x:is>
      </x:c>
      <x:c r="D38" s="6" t="inlineStr">
        <x:is>
          <x:t xml:space="preserve">20:30</x:t>
        </x:is>
      </x:c>
      <x:c r="E38" s="6" t="inlineStr">
        <x:is>
          <x:t xml:space="preserve">Admin/Review</x:t>
        </x:is>
      </x:c>
      <x:c r="F38" s="6" t="inlineStr">
        <x:is>
          <x:t xml:space="preserve">P0</x:t>
        </x:is>
      </x:c>
      <x:c r="G38" s="6" t="inlineStr">
        <x:is>
          <x:t xml:space="preserve">Weekly scorecard</x:t>
        </x:is>
      </x:c>
      <x:c r="H38" s="6" t="inlineStr">
        <x:is>
          <x:t xml:space="preserve">Score messages, replies, calls, proposals, cash, and next-week allocation. Cut weak channels fast.</x:t>
        </x:is>
      </x:c>
      <x:c r="I38" s="6" t="inlineStr">
        <x:is>
          <x:t xml:space="preserve">Scorecard</x:t>
        </x:is>
      </x:c>
      <x:c r="J38" s="6" t="inlineStr">
        <x:is>
          <x:t xml:space="preserve">Allocation updated</x:t>
        </x:is>
      </x:c>
      <x:c r="K38" s="6" t="inlineStr">
        <x:is>
          <x:t xml:space="preserve">Daily Metrics</x:t>
        </x:is>
      </x:c>
      <x:c r="L38" s="6" t="inlineStr">
        <x:is>
          <x:t xml:space="preserve">Not Started</x:t>
        </x:is>
      </x:c>
      <x:c r="M38" s="6" t="inlineStr">
        <x:is>
          <x:t xml:space="preserve">TRUE</x:t>
        </x:is>
      </x:c>
      <x:c r="N38" s="6" t="n">
        <x:v>15</x:v>
      </x:c>
      <x:c r="O38" s="6" t="inlineStr">
        <x:is>
          <x:t xml:space="preserve"/>
        </x:is>
      </x:c>
      <x:c r="P38" s="6" t="inlineStr">
        <x:is>
          <x:t xml:space="preserve"/>
        </x:is>
      </x:c>
    </x:row>
    <x:row r="39">
      <x:c r="A39" s="11" t="n">
        <x:v>46223</x:v>
      </x:c>
      <x:c r="B39" s="4" t="inlineStr">
        <x:is>
          <x:t xml:space="preserve">Mon</x:t>
        </x:is>
      </x:c>
      <x:c r="C39" s="4" t="inlineStr">
        <x:is>
          <x:t xml:space="preserve">07:30</x:t>
        </x:is>
      </x:c>
      <x:c r="D39" s="4" t="inlineStr">
        <x:is>
          <x:t xml:space="preserve">08:00</x:t>
        </x:is>
      </x:c>
      <x:c r="E39" s="4" t="inlineStr">
        <x:is>
          <x:t xml:space="preserve">Admin/Review</x:t>
        </x:is>
      </x:c>
      <x:c r="F39" s="4" t="inlineStr">
        <x:is>
          <x:t xml:space="preserve">P0</x:t>
        </x:is>
      </x:c>
      <x:c r="G39" s="4" t="inlineStr">
        <x:is>
          <x:t xml:space="preserve">Morning pipeline review</x:t>
        </x:is>
      </x:c>
      <x:c r="H39" s="4" t="inlineStr">
        <x:is>
          <x:t xml:space="preserve">Review replies, due follow-ups, calls, and yesterday's market signal. Pick the 3 outcomes that matter today.</x:t>
        </x:is>
      </x:c>
      <x:c r="I39" s="4" t="inlineStr">
        <x:is>
          <x:t xml:space="preserve">Daily priority list</x:t>
        </x:is>
      </x:c>
      <x:c r="J39" s="4" t="inlineStr">
        <x:is>
          <x:t xml:space="preserve">3 outcomes selected</x:t>
        </x:is>
      </x:c>
      <x:c r="K39" s="4" t="inlineStr">
        <x:is>
          <x:t xml:space="preserve">Daily Metrics</x:t>
        </x:is>
      </x:c>
      <x:c r="L39" s="4" t="inlineStr">
        <x:is>
          <x:t xml:space="preserve">Not Started</x:t>
        </x:is>
      </x:c>
      <x:c r="M39" s="4" t="inlineStr">
        <x:is>
          <x:t xml:space="preserve">TRUE</x:t>
        </x:is>
      </x:c>
      <x:c r="N39" s="4" t="n">
        <x:v>15</x:v>
      </x:c>
      <x:c r="O39" s="4" t="inlineStr">
        <x:is>
          <x:t xml:space="preserve"/>
        </x:is>
      </x:c>
      <x:c r="P39" s="4" t="inlineStr">
        <x:is>
          <x:t xml:space="preserve"/>
        </x:is>
      </x:c>
    </x:row>
    <x:row r="40">
      <x:c r="A40" s="12" t="n">
        <x:v>46223</x:v>
      </x:c>
      <x:c r="B40" s="6" t="inlineStr">
        <x:is>
          <x:t xml:space="preserve">Mon</x:t>
        </x:is>
      </x:c>
      <x:c r="C40" s="6" t="inlineStr">
        <x:is>
          <x:t xml:space="preserve">12:30</x:t>
        </x:is>
      </x:c>
      <x:c r="D40" s="6" t="inlineStr">
        <x:is>
          <x:t xml:space="preserve">13:15</x:t>
        </x:is>
      </x:c>
      <x:c r="E40" s="6" t="inlineStr">
        <x:is>
          <x:t xml:space="preserve">Warm Network</x:t>
        </x:is>
      </x:c>
      <x:c r="F40" s="6" t="inlineStr">
        <x:is>
          <x:t xml:space="preserve">P0</x:t>
        </x:is>
      </x:c>
      <x:c r="G40" s="6" t="inlineStr">
        <x:is>
          <x:t xml:space="preserve">Warm direct asks and follow-ups</x:t>
        </x:is>
      </x:c>
      <x:c r="H40" s="6" t="inlineStr">
        <x:is>
          <x:t xml:space="preserve">Send 10-15 warm/referral touches or follow-ups. Ask for a call, a referral, or permission to audit one workflow.</x:t>
        </x:is>
      </x:c>
      <x:c r="I40" s="6" t="inlineStr">
        <x:is>
          <x:t xml:space="preserve">10-15 warm touches</x:t>
        </x:is>
      </x:c>
      <x:c r="J40" s="6" t="inlineStr">
        <x:is>
          <x:t xml:space="preserve">Touches logged</x:t>
        </x:is>
      </x:c>
      <x:c r="K40" s="6" t="inlineStr">
        <x:is>
          <x:t xml:space="preserve">Warm contacts</x:t>
        </x:is>
      </x:c>
      <x:c r="L40" s="6" t="inlineStr">
        <x:is>
          <x:t xml:space="preserve">Not Started</x:t>
        </x:is>
      </x:c>
      <x:c r="M40" s="6" t="inlineStr">
        <x:is>
          <x:t xml:space="preserve">TRUE</x:t>
        </x:is>
      </x:c>
      <x:c r="N40" s="6" t="n">
        <x:v>15</x:v>
      </x:c>
      <x:c r="O40" s="6" t="inlineStr">
        <x:is>
          <x:t xml:space="preserve"/>
        </x:is>
      </x:c>
      <x:c r="P40" s="6" t="inlineStr">
        <x:is>
          <x:t xml:space="preserve"/>
        </x:is>
      </x:c>
    </x:row>
    <x:row r="41">
      <x:c r="A41" s="11" t="n">
        <x:v>46223</x:v>
      </x:c>
      <x:c r="B41" s="4" t="inlineStr">
        <x:is>
          <x:t xml:space="preserve">Mon</x:t>
        </x:is>
      </x:c>
      <x:c r="C41" s="4" t="inlineStr">
        <x:is>
          <x:t xml:space="preserve">15:30</x:t>
        </x:is>
      </x:c>
      <x:c r="D41" s="4" t="inlineStr">
        <x:is>
          <x:t xml:space="preserve">17:30</x:t>
        </x:is>
      </x:c>
      <x:c r="E41" s="4" t="inlineStr">
        <x:is>
          <x:t xml:space="preserve">Calls/Discovery</x:t>
        </x:is>
      </x:c>
      <x:c r="F41" s="4" t="inlineStr">
        <x:is>
          <x:t xml:space="preserve">P0</x:t>
        </x:is>
      </x:c>
      <x:c r="G41" s="4" t="inlineStr">
        <x:is>
          <x:t xml:space="preserve">Call/proposal block</x:t>
        </x:is>
      </x:c>
      <x:c r="H41" s="4" t="inlineStr">
        <x:is>
          <x:t xml:space="preserve">Hold calls, book calls, or write proposals. Move serious prospects to a paid audit or implementation sprint.</x:t>
        </x:is>
      </x:c>
      <x:c r="I41" s="4" t="inlineStr">
        <x:is>
          <x:t xml:space="preserve">Pipeline advanced</x:t>
        </x:is>
      </x:c>
      <x:c r="J41" s="4" t="inlineStr">
        <x:is>
          <x:t xml:space="preserve">2 calls/proposals advanced</x:t>
        </x:is>
      </x:c>
      <x:c r="K41" s="4" t="inlineStr">
        <x:is>
          <x:t xml:space="preserve">Pipeline Tracker</x:t>
        </x:is>
      </x:c>
      <x:c r="L41" s="4" t="inlineStr">
        <x:is>
          <x:t xml:space="preserve">Not Started</x:t>
        </x:is>
      </x:c>
      <x:c r="M41" s="4" t="inlineStr">
        <x:is>
          <x:t xml:space="preserve">TRUE</x:t>
        </x:is>
      </x:c>
      <x:c r="N41" s="4" t="n">
        <x:v>15</x:v>
      </x:c>
      <x:c r="O41" s="4" t="inlineStr">
        <x:is>
          <x:t xml:space="preserve"/>
        </x:is>
      </x:c>
      <x:c r="P41" s="4" t="inlineStr">
        <x:is>
          <x:t xml:space="preserve"/>
        </x:is>
      </x:c>
    </x:row>
    <x:row r="42">
      <x:c r="A42" s="12" t="n">
        <x:v>46223</x:v>
      </x:c>
      <x:c r="B42" s="6" t="inlineStr">
        <x:is>
          <x:t xml:space="preserve">Mon</x:t>
        </x:is>
      </x:c>
      <x:c r="C42" s="6" t="inlineStr">
        <x:is>
          <x:t xml:space="preserve">19:30</x:t>
        </x:is>
      </x:c>
      <x:c r="D42" s="6" t="inlineStr">
        <x:is>
          <x:t xml:space="preserve">21:00</x:t>
        </x:is>
      </x:c>
      <x:c r="E42" s="6" t="inlineStr">
        <x:is>
          <x:t xml:space="preserve">Swim/Sports Niche</x:t>
        </x:is>
      </x:c>
      <x:c r="F42" s="6" t="inlineStr">
        <x:is>
          <x:t xml:space="preserve">P1</x:t>
        </x:is>
      </x:c>
      <x:c r="G42" s="6" t="inlineStr">
        <x:is>
          <x:t xml:space="preserve">Swim/sports market test outreach</x:t>
        </x:is>
      </x:c>
      <x:c r="H42" s="6" t="inlineStr">
        <x:is>
          <x:t xml:space="preserve">Send 8-12 targeted messages or 2 personalized teardowns. Only continue heavy effort if the Jul 16 gate was hit.</x:t>
        </x:is>
      </x:c>
      <x:c r="I42" s="6" t="inlineStr">
        <x:is>
          <x:t xml:space="preserve">Niche test touches</x:t>
        </x:is>
      </x:c>
      <x:c r="J42" s="6" t="inlineStr">
        <x:is>
          <x:t xml:space="preserve">8-12 sent or 2 teardowns ready</x:t>
        </x:is>
      </x:c>
      <x:c r="K42" s="6" t="inlineStr">
        <x:is>
          <x:t xml:space="preserve">Swim/sports prospects</x:t>
        </x:is>
      </x:c>
      <x:c r="L42" s="6" t="inlineStr">
        <x:is>
          <x:t xml:space="preserve">Not Started</x:t>
        </x:is>
      </x:c>
      <x:c r="M42" s="6" t="inlineStr">
        <x:is>
          <x:t xml:space="preserve">TRUE</x:t>
        </x:is>
      </x:c>
      <x:c r="N42" s="6" t="n">
        <x:v>15</x:v>
      </x:c>
      <x:c r="O42" s="6" t="inlineStr">
        <x:is>
          <x:t xml:space="preserve"/>
        </x:is>
      </x:c>
      <x:c r="P42" s="6" t="inlineStr">
        <x:is>
          <x:t xml:space="preserve"/>
        </x:is>
      </x:c>
    </x:row>
    <x:row r="43">
      <x:c r="A43" s="11" t="n">
        <x:v>46223</x:v>
      </x:c>
      <x:c r="B43" s="4" t="inlineStr">
        <x:is>
          <x:t xml:space="preserve">Mon</x:t>
        </x:is>
      </x:c>
      <x:c r="C43" s="4" t="inlineStr">
        <x:is>
          <x:t xml:space="preserve">21:00</x:t>
        </x:is>
      </x:c>
      <x:c r="D43" s="4" t="inlineStr">
        <x:is>
          <x:t xml:space="preserve">21:20</x:t>
        </x:is>
      </x:c>
      <x:c r="E43" s="4" t="inlineStr">
        <x:is>
          <x:t xml:space="preserve">Admin/Review</x:t>
        </x:is>
      </x:c>
      <x:c r="F43" s="4" t="inlineStr">
        <x:is>
          <x:t xml:space="preserve">P0</x:t>
        </x:is>
      </x:c>
      <x:c r="G43" s="4" t="inlineStr">
        <x:is>
          <x:t xml:space="preserve">Update metrics and market signal</x:t>
        </x:is>
      </x:c>
      <x:c r="H43" s="4" t="inlineStr">
        <x:is>
          <x:t xml:space="preserve">Record sends, replies, calls, proposals, cash collected, and what the market said back.</x:t>
        </x:is>
      </x:c>
      <x:c r="I43" s="4" t="inlineStr">
        <x:is>
          <x:t xml:space="preserve">Metrics updated</x:t>
        </x:is>
      </x:c>
      <x:c r="J43" s="4" t="inlineStr">
        <x:is>
          <x:t xml:space="preserve">Daily Metrics row updated</x:t>
        </x:is>
      </x:c>
      <x:c r="K43" s="4" t="inlineStr">
        <x:is>
          <x:t xml:space="preserve">Daily Metrics</x:t>
        </x:is>
      </x:c>
      <x:c r="L43" s="4" t="inlineStr">
        <x:is>
          <x:t xml:space="preserve">Not Started</x:t>
        </x:is>
      </x:c>
      <x:c r="M43" s="4" t="inlineStr">
        <x:is>
          <x:t xml:space="preserve">TRUE</x:t>
        </x:is>
      </x:c>
      <x:c r="N43" s="4" t="n">
        <x:v>15</x:v>
      </x:c>
      <x:c r="O43" s="4" t="inlineStr">
        <x:is>
          <x:t xml:space="preserve"/>
        </x:is>
      </x:c>
      <x:c r="P43" s="4" t="inlineStr">
        <x:is>
          <x:t xml:space="preserve"/>
        </x:is>
      </x:c>
    </x:row>
    <x:row r="44">
      <x:c r="A44" s="12" t="n">
        <x:v>46224</x:v>
      </x:c>
      <x:c r="B44" s="6" t="inlineStr">
        <x:is>
          <x:t xml:space="preserve">Tue</x:t>
        </x:is>
      </x:c>
      <x:c r="C44" s="6" t="inlineStr">
        <x:is>
          <x:t xml:space="preserve">07:30</x:t>
        </x:is>
      </x:c>
      <x:c r="D44" s="6" t="inlineStr">
        <x:is>
          <x:t xml:space="preserve">08:00</x:t>
        </x:is>
      </x:c>
      <x:c r="E44" s="6" t="inlineStr">
        <x:is>
          <x:t xml:space="preserve">Admin/Review</x:t>
        </x:is>
      </x:c>
      <x:c r="F44" s="6" t="inlineStr">
        <x:is>
          <x:t xml:space="preserve">P0</x:t>
        </x:is>
      </x:c>
      <x:c r="G44" s="6" t="inlineStr">
        <x:is>
          <x:t xml:space="preserve">Morning pipeline review</x:t>
        </x:is>
      </x:c>
      <x:c r="H44" s="6" t="inlineStr">
        <x:is>
          <x:t xml:space="preserve">Review replies, due follow-ups, calls, and yesterday's market signal. Pick the 3 outcomes that matter today.</x:t>
        </x:is>
      </x:c>
      <x:c r="I44" s="6" t="inlineStr">
        <x:is>
          <x:t xml:space="preserve">Daily priority list</x:t>
        </x:is>
      </x:c>
      <x:c r="J44" s="6" t="inlineStr">
        <x:is>
          <x:t xml:space="preserve">3 outcomes selected</x:t>
        </x:is>
      </x:c>
      <x:c r="K44" s="6" t="inlineStr">
        <x:is>
          <x:t xml:space="preserve">Daily Metrics</x:t>
        </x:is>
      </x:c>
      <x:c r="L44" s="6" t="inlineStr">
        <x:is>
          <x:t xml:space="preserve">Not Started</x:t>
        </x:is>
      </x:c>
      <x:c r="M44" s="6" t="inlineStr">
        <x:is>
          <x:t xml:space="preserve">TRUE</x:t>
        </x:is>
      </x:c>
      <x:c r="N44" s="6" t="n">
        <x:v>15</x:v>
      </x:c>
      <x:c r="O44" s="6" t="inlineStr">
        <x:is>
          <x:t xml:space="preserve"/>
        </x:is>
      </x:c>
      <x:c r="P44" s="6" t="inlineStr">
        <x:is>
          <x:t xml:space="preserve"/>
        </x:is>
      </x:c>
    </x:row>
    <x:row r="45">
      <x:c r="A45" s="11" t="n">
        <x:v>46224</x:v>
      </x:c>
      <x:c r="B45" s="4" t="inlineStr">
        <x:is>
          <x:t xml:space="preserve">Tue</x:t>
        </x:is>
      </x:c>
      <x:c r="C45" s="4" t="inlineStr">
        <x:is>
          <x:t xml:space="preserve">12:30</x:t>
        </x:is>
      </x:c>
      <x:c r="D45" s="4" t="inlineStr">
        <x:is>
          <x:t xml:space="preserve">13:15</x:t>
        </x:is>
      </x:c>
      <x:c r="E45" s="4" t="inlineStr">
        <x:is>
          <x:t xml:space="preserve">Warm Network</x:t>
        </x:is>
      </x:c>
      <x:c r="F45" s="4" t="inlineStr">
        <x:is>
          <x:t xml:space="preserve">P0</x:t>
        </x:is>
      </x:c>
      <x:c r="G45" s="4" t="inlineStr">
        <x:is>
          <x:t xml:space="preserve">Warm direct asks and follow-ups</x:t>
        </x:is>
      </x:c>
      <x:c r="H45" s="4" t="inlineStr">
        <x:is>
          <x:t xml:space="preserve">Send 10-15 warm/referral touches or follow-ups. Ask for a call, a referral, or permission to audit one workflow.</x:t>
        </x:is>
      </x:c>
      <x:c r="I45" s="4" t="inlineStr">
        <x:is>
          <x:t xml:space="preserve">10-15 warm touches</x:t>
        </x:is>
      </x:c>
      <x:c r="J45" s="4" t="inlineStr">
        <x:is>
          <x:t xml:space="preserve">Touches logged</x:t>
        </x:is>
      </x:c>
      <x:c r="K45" s="4" t="inlineStr">
        <x:is>
          <x:t xml:space="preserve">Warm contacts</x:t>
        </x:is>
      </x:c>
      <x:c r="L45" s="4" t="inlineStr">
        <x:is>
          <x:t xml:space="preserve">Not Started</x:t>
        </x:is>
      </x:c>
      <x:c r="M45" s="4" t="inlineStr">
        <x:is>
          <x:t xml:space="preserve">TRUE</x:t>
        </x:is>
      </x:c>
      <x:c r="N45" s="4" t="n">
        <x:v>15</x:v>
      </x:c>
      <x:c r="O45" s="4" t="inlineStr">
        <x:is>
          <x:t xml:space="preserve"/>
        </x:is>
      </x:c>
      <x:c r="P45" s="4" t="inlineStr">
        <x:is>
          <x:t xml:space="preserve"/>
        </x:is>
      </x:c>
    </x:row>
    <x:row r="46">
      <x:c r="A46" s="12" t="n">
        <x:v>46224</x:v>
      </x:c>
      <x:c r="B46" s="6" t="inlineStr">
        <x:is>
          <x:t xml:space="preserve">Tue</x:t>
        </x:is>
      </x:c>
      <x:c r="C46" s="6" t="inlineStr">
        <x:is>
          <x:t xml:space="preserve">15:30</x:t>
        </x:is>
      </x:c>
      <x:c r="D46" s="6" t="inlineStr">
        <x:is>
          <x:t xml:space="preserve">17:30</x:t>
        </x:is>
      </x:c>
      <x:c r="E46" s="6" t="inlineStr">
        <x:is>
          <x:t xml:space="preserve">Calls/Discovery</x:t>
        </x:is>
      </x:c>
      <x:c r="F46" s="6" t="inlineStr">
        <x:is>
          <x:t xml:space="preserve">P0</x:t>
        </x:is>
      </x:c>
      <x:c r="G46" s="6" t="inlineStr">
        <x:is>
          <x:t xml:space="preserve">Call/proposal block</x:t>
        </x:is>
      </x:c>
      <x:c r="H46" s="6" t="inlineStr">
        <x:is>
          <x:t xml:space="preserve">Hold calls, book calls, or write proposals. Move serious prospects to a paid audit or implementation sprint.</x:t>
        </x:is>
      </x:c>
      <x:c r="I46" s="6" t="inlineStr">
        <x:is>
          <x:t xml:space="preserve">Pipeline advanced</x:t>
        </x:is>
      </x:c>
      <x:c r="J46" s="6" t="inlineStr">
        <x:is>
          <x:t xml:space="preserve">2 calls/proposals advanced</x:t>
        </x:is>
      </x:c>
      <x:c r="K46" s="6" t="inlineStr">
        <x:is>
          <x:t xml:space="preserve">Pipeline Tracker</x:t>
        </x:is>
      </x:c>
      <x:c r="L46" s="6" t="inlineStr">
        <x:is>
          <x:t xml:space="preserve">Not Started</x:t>
        </x:is>
      </x:c>
      <x:c r="M46" s="6" t="inlineStr">
        <x:is>
          <x:t xml:space="preserve">TRUE</x:t>
        </x:is>
      </x:c>
      <x:c r="N46" s="6" t="n">
        <x:v>15</x:v>
      </x:c>
      <x:c r="O46" s="6" t="inlineStr">
        <x:is>
          <x:t xml:space="preserve"/>
        </x:is>
      </x:c>
      <x:c r="P46" s="6" t="inlineStr">
        <x:is>
          <x:t xml:space="preserve"/>
        </x:is>
      </x:c>
    </x:row>
    <x:row r="47">
      <x:c r="A47" s="11" t="n">
        <x:v>46224</x:v>
      </x:c>
      <x:c r="B47" s="4" t="inlineStr">
        <x:is>
          <x:t xml:space="preserve">Tue</x:t>
        </x:is>
      </x:c>
      <x:c r="C47" s="4" t="inlineStr">
        <x:is>
          <x:t xml:space="preserve">19:30</x:t>
        </x:is>
      </x:c>
      <x:c r="D47" s="4" t="inlineStr">
        <x:is>
          <x:t xml:space="preserve">21:00</x:t>
        </x:is>
      </x:c>
      <x:c r="E47" s="4" t="inlineStr">
        <x:is>
          <x:t xml:space="preserve">Agency/Operator</x:t>
        </x:is>
      </x:c>
      <x:c r="F47" s="4" t="inlineStr">
        <x:is>
          <x:t xml:space="preserve">P1</x:t>
        </x:is>
      </x:c>
      <x:c r="G47" s="4" t="inlineStr">
        <x:is>
          <x:t xml:space="preserve">Agency/operator conversion push</x:t>
        </x:is>
      </x:c>
      <x:c r="H47" s="4" t="inlineStr">
        <x:is>
          <x:t xml:space="preserve">Send targeted audit offers to agencies/operators and use the proof pages to establish credibility quickly.</x:t>
        </x:is>
      </x:c>
      <x:c r="I47" s="4" t="inlineStr">
        <x:is>
          <x:t xml:space="preserve">Agency pipeline advanced</x:t>
        </x:is>
      </x:c>
      <x:c r="J47" s="4" t="inlineStr">
        <x:is>
          <x:t xml:space="preserve">10 touches or 1 proposal</x:t>
        </x:is>
      </x:c>
      <x:c r="K47" s="4" t="inlineStr">
        <x:is>
          <x:t xml:space="preserve">Agency prospects</x:t>
        </x:is>
      </x:c>
      <x:c r="L47" s="4" t="inlineStr">
        <x:is>
          <x:t xml:space="preserve">Not Started</x:t>
        </x:is>
      </x:c>
      <x:c r="M47" s="4" t="inlineStr">
        <x:is>
          <x:t xml:space="preserve">TRUE</x:t>
        </x:is>
      </x:c>
      <x:c r="N47" s="4" t="n">
        <x:v>15</x:v>
      </x:c>
      <x:c r="O47" s="4" t="inlineStr">
        <x:is>
          <x:t xml:space="preserve"/>
        </x:is>
      </x:c>
      <x:c r="P47" s="4" t="inlineStr">
        <x:is>
          <x:t xml:space="preserve"/>
        </x:is>
      </x:c>
    </x:row>
    <x:row r="48">
      <x:c r="A48" s="12" t="n">
        <x:v>46224</x:v>
      </x:c>
      <x:c r="B48" s="6" t="inlineStr">
        <x:is>
          <x:t xml:space="preserve">Tue</x:t>
        </x:is>
      </x:c>
      <x:c r="C48" s="6" t="inlineStr">
        <x:is>
          <x:t xml:space="preserve">21:00</x:t>
        </x:is>
      </x:c>
      <x:c r="D48" s="6" t="inlineStr">
        <x:is>
          <x:t xml:space="preserve">21:20</x:t>
        </x:is>
      </x:c>
      <x:c r="E48" s="6" t="inlineStr">
        <x:is>
          <x:t xml:space="preserve">Admin/Review</x:t>
        </x:is>
      </x:c>
      <x:c r="F48" s="6" t="inlineStr">
        <x:is>
          <x:t xml:space="preserve">P0</x:t>
        </x:is>
      </x:c>
      <x:c r="G48" s="6" t="inlineStr">
        <x:is>
          <x:t xml:space="preserve">Update metrics and market signal</x:t>
        </x:is>
      </x:c>
      <x:c r="H48" s="6" t="inlineStr">
        <x:is>
          <x:t xml:space="preserve">Record sends, replies, calls, proposals, cash collected, and what the market said back.</x:t>
        </x:is>
      </x:c>
      <x:c r="I48" s="6" t="inlineStr">
        <x:is>
          <x:t xml:space="preserve">Metrics updated</x:t>
        </x:is>
      </x:c>
      <x:c r="J48" s="6" t="inlineStr">
        <x:is>
          <x:t xml:space="preserve">Daily Metrics row updated</x:t>
        </x:is>
      </x:c>
      <x:c r="K48" s="6" t="inlineStr">
        <x:is>
          <x:t xml:space="preserve">Daily Metrics</x:t>
        </x:is>
      </x:c>
      <x:c r="L48" s="6" t="inlineStr">
        <x:is>
          <x:t xml:space="preserve">Not Started</x:t>
        </x:is>
      </x:c>
      <x:c r="M48" s="6" t="inlineStr">
        <x:is>
          <x:t xml:space="preserve">TRUE</x:t>
        </x:is>
      </x:c>
      <x:c r="N48" s="6" t="n">
        <x:v>15</x:v>
      </x:c>
      <x:c r="O48" s="6" t="inlineStr">
        <x:is>
          <x:t xml:space="preserve"/>
        </x:is>
      </x:c>
      <x:c r="P48" s="6" t="inlineStr">
        <x:is>
          <x:t xml:space="preserve"/>
        </x:is>
      </x:c>
    </x:row>
    <x:row r="49">
      <x:c r="A49" s="11" t="n">
        <x:v>46225</x:v>
      </x:c>
      <x:c r="B49" s="4" t="inlineStr">
        <x:is>
          <x:t xml:space="preserve">Wed</x:t>
        </x:is>
      </x:c>
      <x:c r="C49" s="4" t="inlineStr">
        <x:is>
          <x:t xml:space="preserve">07:30</x:t>
        </x:is>
      </x:c>
      <x:c r="D49" s="4" t="inlineStr">
        <x:is>
          <x:t xml:space="preserve">08:00</x:t>
        </x:is>
      </x:c>
      <x:c r="E49" s="4" t="inlineStr">
        <x:is>
          <x:t xml:space="preserve">Admin/Review</x:t>
        </x:is>
      </x:c>
      <x:c r="F49" s="4" t="inlineStr">
        <x:is>
          <x:t xml:space="preserve">P0</x:t>
        </x:is>
      </x:c>
      <x:c r="G49" s="4" t="inlineStr">
        <x:is>
          <x:t xml:space="preserve">Morning pipeline review</x:t>
        </x:is>
      </x:c>
      <x:c r="H49" s="4" t="inlineStr">
        <x:is>
          <x:t xml:space="preserve">Review replies, due follow-ups, calls, and yesterday's market signal. Pick the 3 outcomes that matter today.</x:t>
        </x:is>
      </x:c>
      <x:c r="I49" s="4" t="inlineStr">
        <x:is>
          <x:t xml:space="preserve">Daily priority list</x:t>
        </x:is>
      </x:c>
      <x:c r="J49" s="4" t="inlineStr">
        <x:is>
          <x:t xml:space="preserve">3 outcomes selected</x:t>
        </x:is>
      </x:c>
      <x:c r="K49" s="4" t="inlineStr">
        <x:is>
          <x:t xml:space="preserve">Daily Metrics</x:t>
        </x:is>
      </x:c>
      <x:c r="L49" s="4" t="inlineStr">
        <x:is>
          <x:t xml:space="preserve">Not Started</x:t>
        </x:is>
      </x:c>
      <x:c r="M49" s="4" t="inlineStr">
        <x:is>
          <x:t xml:space="preserve">TRUE</x:t>
        </x:is>
      </x:c>
      <x:c r="N49" s="4" t="n">
        <x:v>15</x:v>
      </x:c>
      <x:c r="O49" s="4" t="inlineStr">
        <x:is>
          <x:t xml:space="preserve"/>
        </x:is>
      </x:c>
      <x:c r="P49" s="4" t="inlineStr">
        <x:is>
          <x:t xml:space="preserve"/>
        </x:is>
      </x:c>
    </x:row>
    <x:row r="50">
      <x:c r="A50" s="12" t="n">
        <x:v>46225</x:v>
      </x:c>
      <x:c r="B50" s="6" t="inlineStr">
        <x:is>
          <x:t xml:space="preserve">Wed</x:t>
        </x:is>
      </x:c>
      <x:c r="C50" s="6" t="inlineStr">
        <x:is>
          <x:t xml:space="preserve">12:30</x:t>
        </x:is>
      </x:c>
      <x:c r="D50" s="6" t="inlineStr">
        <x:is>
          <x:t xml:space="preserve">13:15</x:t>
        </x:is>
      </x:c>
      <x:c r="E50" s="6" t="inlineStr">
        <x:is>
          <x:t xml:space="preserve">Warm Network</x:t>
        </x:is>
      </x:c>
      <x:c r="F50" s="6" t="inlineStr">
        <x:is>
          <x:t xml:space="preserve">P0</x:t>
        </x:is>
      </x:c>
      <x:c r="G50" s="6" t="inlineStr">
        <x:is>
          <x:t xml:space="preserve">Warm direct asks and follow-ups</x:t>
        </x:is>
      </x:c>
      <x:c r="H50" s="6" t="inlineStr">
        <x:is>
          <x:t xml:space="preserve">Send 10-15 warm/referral touches or follow-ups. Ask for a call, a referral, or permission to audit one workflow.</x:t>
        </x:is>
      </x:c>
      <x:c r="I50" s="6" t="inlineStr">
        <x:is>
          <x:t xml:space="preserve">10-15 warm touches</x:t>
        </x:is>
      </x:c>
      <x:c r="J50" s="6" t="inlineStr">
        <x:is>
          <x:t xml:space="preserve">Touches logged</x:t>
        </x:is>
      </x:c>
      <x:c r="K50" s="6" t="inlineStr">
        <x:is>
          <x:t xml:space="preserve">Warm contacts</x:t>
        </x:is>
      </x:c>
      <x:c r="L50" s="6" t="inlineStr">
        <x:is>
          <x:t xml:space="preserve">Not Started</x:t>
        </x:is>
      </x:c>
      <x:c r="M50" s="6" t="inlineStr">
        <x:is>
          <x:t xml:space="preserve">TRUE</x:t>
        </x:is>
      </x:c>
      <x:c r="N50" s="6" t="n">
        <x:v>15</x:v>
      </x:c>
      <x:c r="O50" s="6" t="inlineStr">
        <x:is>
          <x:t xml:space="preserve"/>
        </x:is>
      </x:c>
      <x:c r="P50" s="6" t="inlineStr">
        <x:is>
          <x:t xml:space="preserve"/>
        </x:is>
      </x:c>
    </x:row>
    <x:row r="51">
      <x:c r="A51" s="11" t="n">
        <x:v>46225</x:v>
      </x:c>
      <x:c r="B51" s="4" t="inlineStr">
        <x:is>
          <x:t xml:space="preserve">Wed</x:t>
        </x:is>
      </x:c>
      <x:c r="C51" s="4" t="inlineStr">
        <x:is>
          <x:t xml:space="preserve">15:30</x:t>
        </x:is>
      </x:c>
      <x:c r="D51" s="4" t="inlineStr">
        <x:is>
          <x:t xml:space="preserve">17:30</x:t>
        </x:is>
      </x:c>
      <x:c r="E51" s="4" t="inlineStr">
        <x:is>
          <x:t xml:space="preserve">Calls/Discovery</x:t>
        </x:is>
      </x:c>
      <x:c r="F51" s="4" t="inlineStr">
        <x:is>
          <x:t xml:space="preserve">P0</x:t>
        </x:is>
      </x:c>
      <x:c r="G51" s="4" t="inlineStr">
        <x:is>
          <x:t xml:space="preserve">Call/proposal block</x:t>
        </x:is>
      </x:c>
      <x:c r="H51" s="4" t="inlineStr">
        <x:is>
          <x:t xml:space="preserve">Hold calls, book calls, or write proposals. Move serious prospects to a paid audit or implementation sprint.</x:t>
        </x:is>
      </x:c>
      <x:c r="I51" s="4" t="inlineStr">
        <x:is>
          <x:t xml:space="preserve">Pipeline advanced</x:t>
        </x:is>
      </x:c>
      <x:c r="J51" s="4" t="inlineStr">
        <x:is>
          <x:t xml:space="preserve">2 calls/proposals advanced</x:t>
        </x:is>
      </x:c>
      <x:c r="K51" s="4" t="inlineStr">
        <x:is>
          <x:t xml:space="preserve">Pipeline Tracker</x:t>
        </x:is>
      </x:c>
      <x:c r="L51" s="4" t="inlineStr">
        <x:is>
          <x:t xml:space="preserve">Not Started</x:t>
        </x:is>
      </x:c>
      <x:c r="M51" s="4" t="inlineStr">
        <x:is>
          <x:t xml:space="preserve">TRUE</x:t>
        </x:is>
      </x:c>
      <x:c r="N51" s="4" t="n">
        <x:v>15</x:v>
      </x:c>
      <x:c r="O51" s="4" t="inlineStr">
        <x:is>
          <x:t xml:space="preserve"/>
        </x:is>
      </x:c>
      <x:c r="P51" s="4" t="inlineStr">
        <x:is>
          <x:t xml:space="preserve"/>
        </x:is>
      </x:c>
    </x:row>
    <x:row r="52">
      <x:c r="A52" s="12" t="n">
        <x:v>46225</x:v>
      </x:c>
      <x:c r="B52" s="6" t="inlineStr">
        <x:is>
          <x:t xml:space="preserve">Wed</x:t>
        </x:is>
      </x:c>
      <x:c r="C52" s="6" t="inlineStr">
        <x:is>
          <x:t xml:space="preserve">19:30</x:t>
        </x:is>
      </x:c>
      <x:c r="D52" s="6" t="inlineStr">
        <x:is>
          <x:t xml:space="preserve">21:00</x:t>
        </x:is>
      </x:c>
      <x:c r="E52" s="6" t="inlineStr">
        <x:is>
          <x:t xml:space="preserve">Agency/Operator</x:t>
        </x:is>
      </x:c>
      <x:c r="F52" s="6" t="inlineStr">
        <x:is>
          <x:t xml:space="preserve">P1</x:t>
        </x:is>
      </x:c>
      <x:c r="G52" s="6" t="inlineStr">
        <x:is>
          <x:t xml:space="preserve">Agency/operator conversion push</x:t>
        </x:is>
      </x:c>
      <x:c r="H52" s="6" t="inlineStr">
        <x:is>
          <x:t xml:space="preserve">Send targeted audit offers to agencies/operators and use the proof pages to establish credibility quickly.</x:t>
        </x:is>
      </x:c>
      <x:c r="I52" s="6" t="inlineStr">
        <x:is>
          <x:t xml:space="preserve">Agency pipeline advanced</x:t>
        </x:is>
      </x:c>
      <x:c r="J52" s="6" t="inlineStr">
        <x:is>
          <x:t xml:space="preserve">10 touches or 1 proposal</x:t>
        </x:is>
      </x:c>
      <x:c r="K52" s="6" t="inlineStr">
        <x:is>
          <x:t xml:space="preserve">Agency prospects</x:t>
        </x:is>
      </x:c>
      <x:c r="L52" s="6" t="inlineStr">
        <x:is>
          <x:t xml:space="preserve">Not Started</x:t>
        </x:is>
      </x:c>
      <x:c r="M52" s="6" t="inlineStr">
        <x:is>
          <x:t xml:space="preserve">TRUE</x:t>
        </x:is>
      </x:c>
      <x:c r="N52" s="6" t="n">
        <x:v>15</x:v>
      </x:c>
      <x:c r="O52" s="6" t="inlineStr">
        <x:is>
          <x:t xml:space="preserve"/>
        </x:is>
      </x:c>
      <x:c r="P52" s="6" t="inlineStr">
        <x:is>
          <x:t xml:space="preserve"/>
        </x:is>
      </x:c>
    </x:row>
    <x:row r="53">
      <x:c r="A53" s="11" t="n">
        <x:v>46225</x:v>
      </x:c>
      <x:c r="B53" s="4" t="inlineStr">
        <x:is>
          <x:t xml:space="preserve">Wed</x:t>
        </x:is>
      </x:c>
      <x:c r="C53" s="4" t="inlineStr">
        <x:is>
          <x:t xml:space="preserve">21:00</x:t>
        </x:is>
      </x:c>
      <x:c r="D53" s="4" t="inlineStr">
        <x:is>
          <x:t xml:space="preserve">21:20</x:t>
        </x:is>
      </x:c>
      <x:c r="E53" s="4" t="inlineStr">
        <x:is>
          <x:t xml:space="preserve">Admin/Review</x:t>
        </x:is>
      </x:c>
      <x:c r="F53" s="4" t="inlineStr">
        <x:is>
          <x:t xml:space="preserve">P0</x:t>
        </x:is>
      </x:c>
      <x:c r="G53" s="4" t="inlineStr">
        <x:is>
          <x:t xml:space="preserve">Update metrics and market signal</x:t>
        </x:is>
      </x:c>
      <x:c r="H53" s="4" t="inlineStr">
        <x:is>
          <x:t xml:space="preserve">Record sends, replies, calls, proposals, cash collected, and what the market said back.</x:t>
        </x:is>
      </x:c>
      <x:c r="I53" s="4" t="inlineStr">
        <x:is>
          <x:t xml:space="preserve">Metrics updated</x:t>
        </x:is>
      </x:c>
      <x:c r="J53" s="4" t="inlineStr">
        <x:is>
          <x:t xml:space="preserve">Daily Metrics row updated</x:t>
        </x:is>
      </x:c>
      <x:c r="K53" s="4" t="inlineStr">
        <x:is>
          <x:t xml:space="preserve">Daily Metrics</x:t>
        </x:is>
      </x:c>
      <x:c r="L53" s="4" t="inlineStr">
        <x:is>
          <x:t xml:space="preserve">Not Started</x:t>
        </x:is>
      </x:c>
      <x:c r="M53" s="4" t="inlineStr">
        <x:is>
          <x:t xml:space="preserve">TRUE</x:t>
        </x:is>
      </x:c>
      <x:c r="N53" s="4" t="n">
        <x:v>15</x:v>
      </x:c>
      <x:c r="O53" s="4" t="inlineStr">
        <x:is>
          <x:t xml:space="preserve"/>
        </x:is>
      </x:c>
      <x:c r="P53" s="4" t="inlineStr">
        <x:is>
          <x:t xml:space="preserve"/>
        </x:is>
      </x:c>
    </x:row>
    <x:row r="54">
      <x:c r="A54" s="12" t="n">
        <x:v>46226</x:v>
      </x:c>
      <x:c r="B54" s="6" t="inlineStr">
        <x:is>
          <x:t xml:space="preserve">Thu</x:t>
        </x:is>
      </x:c>
      <x:c r="C54" s="6" t="inlineStr">
        <x:is>
          <x:t xml:space="preserve">07:30</x:t>
        </x:is>
      </x:c>
      <x:c r="D54" s="6" t="inlineStr">
        <x:is>
          <x:t xml:space="preserve">08:00</x:t>
        </x:is>
      </x:c>
      <x:c r="E54" s="6" t="inlineStr">
        <x:is>
          <x:t xml:space="preserve">Admin/Review</x:t>
        </x:is>
      </x:c>
      <x:c r="F54" s="6" t="inlineStr">
        <x:is>
          <x:t xml:space="preserve">P0</x:t>
        </x:is>
      </x:c>
      <x:c r="G54" s="6" t="inlineStr">
        <x:is>
          <x:t xml:space="preserve">Morning pipeline review</x:t>
        </x:is>
      </x:c>
      <x:c r="H54" s="6" t="inlineStr">
        <x:is>
          <x:t xml:space="preserve">Review replies, due follow-ups, calls, and yesterday's market signal. Pick the 3 outcomes that matter today.</x:t>
        </x:is>
      </x:c>
      <x:c r="I54" s="6" t="inlineStr">
        <x:is>
          <x:t xml:space="preserve">Daily priority list</x:t>
        </x:is>
      </x:c>
      <x:c r="J54" s="6" t="inlineStr">
        <x:is>
          <x:t xml:space="preserve">3 outcomes selected</x:t>
        </x:is>
      </x:c>
      <x:c r="K54" s="6" t="inlineStr">
        <x:is>
          <x:t xml:space="preserve">Daily Metrics</x:t>
        </x:is>
      </x:c>
      <x:c r="L54" s="6" t="inlineStr">
        <x:is>
          <x:t xml:space="preserve">Not Started</x:t>
        </x:is>
      </x:c>
      <x:c r="M54" s="6" t="inlineStr">
        <x:is>
          <x:t xml:space="preserve">TRUE</x:t>
        </x:is>
      </x:c>
      <x:c r="N54" s="6" t="n">
        <x:v>15</x:v>
      </x:c>
      <x:c r="O54" s="6" t="inlineStr">
        <x:is>
          <x:t xml:space="preserve"/>
        </x:is>
      </x:c>
      <x:c r="P54" s="6" t="inlineStr">
        <x:is>
          <x:t xml:space="preserve"/>
        </x:is>
      </x:c>
    </x:row>
    <x:row r="55">
      <x:c r="A55" s="11" t="n">
        <x:v>46226</x:v>
      </x:c>
      <x:c r="B55" s="4" t="inlineStr">
        <x:is>
          <x:t xml:space="preserve">Thu</x:t>
        </x:is>
      </x:c>
      <x:c r="C55" s="4" t="inlineStr">
        <x:is>
          <x:t xml:space="preserve">12:30</x:t>
        </x:is>
      </x:c>
      <x:c r="D55" s="4" t="inlineStr">
        <x:is>
          <x:t xml:space="preserve">13:15</x:t>
        </x:is>
      </x:c>
      <x:c r="E55" s="4" t="inlineStr">
        <x:is>
          <x:t xml:space="preserve">Warm Network</x:t>
        </x:is>
      </x:c>
      <x:c r="F55" s="4" t="inlineStr">
        <x:is>
          <x:t xml:space="preserve">P0</x:t>
        </x:is>
      </x:c>
      <x:c r="G55" s="4" t="inlineStr">
        <x:is>
          <x:t xml:space="preserve">Warm direct asks and follow-ups</x:t>
        </x:is>
      </x:c>
      <x:c r="H55" s="4" t="inlineStr">
        <x:is>
          <x:t xml:space="preserve">Send 10-15 warm/referral touches or follow-ups. Ask for a call, a referral, or permission to audit one workflow.</x:t>
        </x:is>
      </x:c>
      <x:c r="I55" s="4" t="inlineStr">
        <x:is>
          <x:t xml:space="preserve">10-15 warm touches</x:t>
        </x:is>
      </x:c>
      <x:c r="J55" s="4" t="inlineStr">
        <x:is>
          <x:t xml:space="preserve">Touches logged</x:t>
        </x:is>
      </x:c>
      <x:c r="K55" s="4" t="inlineStr">
        <x:is>
          <x:t xml:space="preserve">Warm contacts</x:t>
        </x:is>
      </x:c>
      <x:c r="L55" s="4" t="inlineStr">
        <x:is>
          <x:t xml:space="preserve">Not Started</x:t>
        </x:is>
      </x:c>
      <x:c r="M55" s="4" t="inlineStr">
        <x:is>
          <x:t xml:space="preserve">TRUE</x:t>
        </x:is>
      </x:c>
      <x:c r="N55" s="4" t="n">
        <x:v>15</x:v>
      </x:c>
      <x:c r="O55" s="4" t="inlineStr">
        <x:is>
          <x:t xml:space="preserve"/>
        </x:is>
      </x:c>
      <x:c r="P55" s="4" t="inlineStr">
        <x:is>
          <x:t xml:space="preserve"/>
        </x:is>
      </x:c>
    </x:row>
    <x:row r="56">
      <x:c r="A56" s="12" t="n">
        <x:v>46226</x:v>
      </x:c>
      <x:c r="B56" s="6" t="inlineStr">
        <x:is>
          <x:t xml:space="preserve">Thu</x:t>
        </x:is>
      </x:c>
      <x:c r="C56" s="6" t="inlineStr">
        <x:is>
          <x:t xml:space="preserve">15:30</x:t>
        </x:is>
      </x:c>
      <x:c r="D56" s="6" t="inlineStr">
        <x:is>
          <x:t xml:space="preserve">17:30</x:t>
        </x:is>
      </x:c>
      <x:c r="E56" s="6" t="inlineStr">
        <x:is>
          <x:t xml:space="preserve">Calls/Discovery</x:t>
        </x:is>
      </x:c>
      <x:c r="F56" s="6" t="inlineStr">
        <x:is>
          <x:t xml:space="preserve">P0</x:t>
        </x:is>
      </x:c>
      <x:c r="G56" s="6" t="inlineStr">
        <x:is>
          <x:t xml:space="preserve">Call/proposal block</x:t>
        </x:is>
      </x:c>
      <x:c r="H56" s="6" t="inlineStr">
        <x:is>
          <x:t xml:space="preserve">Hold calls, book calls, or write proposals. Move serious prospects to a paid audit or implementation sprint.</x:t>
        </x:is>
      </x:c>
      <x:c r="I56" s="6" t="inlineStr">
        <x:is>
          <x:t xml:space="preserve">Pipeline advanced</x:t>
        </x:is>
      </x:c>
      <x:c r="J56" s="6" t="inlineStr">
        <x:is>
          <x:t xml:space="preserve">2 calls/proposals advanced</x:t>
        </x:is>
      </x:c>
      <x:c r="K56" s="6" t="inlineStr">
        <x:is>
          <x:t xml:space="preserve">Pipeline Tracker</x:t>
        </x:is>
      </x:c>
      <x:c r="L56" s="6" t="inlineStr">
        <x:is>
          <x:t xml:space="preserve">Not Started</x:t>
        </x:is>
      </x:c>
      <x:c r="M56" s="6" t="inlineStr">
        <x:is>
          <x:t xml:space="preserve">TRUE</x:t>
        </x:is>
      </x:c>
      <x:c r="N56" s="6" t="n">
        <x:v>15</x:v>
      </x:c>
      <x:c r="O56" s="6" t="inlineStr">
        <x:is>
          <x:t xml:space="preserve"/>
        </x:is>
      </x:c>
      <x:c r="P56" s="6" t="inlineStr">
        <x:is>
          <x:t xml:space="preserve"/>
        </x:is>
      </x:c>
    </x:row>
    <x:row r="57">
      <x:c r="A57" s="11" t="n">
        <x:v>46226</x:v>
      </x:c>
      <x:c r="B57" s="4" t="inlineStr">
        <x:is>
          <x:t xml:space="preserve">Thu</x:t>
        </x:is>
      </x:c>
      <x:c r="C57" s="4" t="inlineStr">
        <x:is>
          <x:t xml:space="preserve">19:30</x:t>
        </x:is>
      </x:c>
      <x:c r="D57" s="4" t="inlineStr">
        <x:is>
          <x:t xml:space="preserve">21:00</x:t>
        </x:is>
      </x:c>
      <x:c r="E57" s="4" t="inlineStr">
        <x:is>
          <x:t xml:space="preserve">Agency/Operator</x:t>
        </x:is>
      </x:c>
      <x:c r="F57" s="4" t="inlineStr">
        <x:is>
          <x:t xml:space="preserve">P1</x:t>
        </x:is>
      </x:c>
      <x:c r="G57" s="4" t="inlineStr">
        <x:is>
          <x:t xml:space="preserve">Agency/operator conversion push</x:t>
        </x:is>
      </x:c>
      <x:c r="H57" s="4" t="inlineStr">
        <x:is>
          <x:t xml:space="preserve">Send targeted audit offers to agencies/operators and use the proof pages to establish credibility quickly.</x:t>
        </x:is>
      </x:c>
      <x:c r="I57" s="4" t="inlineStr">
        <x:is>
          <x:t xml:space="preserve">Agency pipeline advanced</x:t>
        </x:is>
      </x:c>
      <x:c r="J57" s="4" t="inlineStr">
        <x:is>
          <x:t xml:space="preserve">10 touches or 1 proposal</x:t>
        </x:is>
      </x:c>
      <x:c r="K57" s="4" t="inlineStr">
        <x:is>
          <x:t xml:space="preserve">Agency prospects</x:t>
        </x:is>
      </x:c>
      <x:c r="L57" s="4" t="inlineStr">
        <x:is>
          <x:t xml:space="preserve">Not Started</x:t>
        </x:is>
      </x:c>
      <x:c r="M57" s="4" t="inlineStr">
        <x:is>
          <x:t xml:space="preserve">TRUE</x:t>
        </x:is>
      </x:c>
      <x:c r="N57" s="4" t="n">
        <x:v>15</x:v>
      </x:c>
      <x:c r="O57" s="4" t="inlineStr">
        <x:is>
          <x:t xml:space="preserve"/>
        </x:is>
      </x:c>
      <x:c r="P57" s="4" t="inlineStr">
        <x:is>
          <x:t xml:space="preserve"/>
        </x:is>
      </x:c>
    </x:row>
    <x:row r="58">
      <x:c r="A58" s="12" t="n">
        <x:v>46226</x:v>
      </x:c>
      <x:c r="B58" s="6" t="inlineStr">
        <x:is>
          <x:t xml:space="preserve">Thu</x:t>
        </x:is>
      </x:c>
      <x:c r="C58" s="6" t="inlineStr">
        <x:is>
          <x:t xml:space="preserve">21:00</x:t>
        </x:is>
      </x:c>
      <x:c r="D58" s="6" t="inlineStr">
        <x:is>
          <x:t xml:space="preserve">21:20</x:t>
        </x:is>
      </x:c>
      <x:c r="E58" s="6" t="inlineStr">
        <x:is>
          <x:t xml:space="preserve">Admin/Review</x:t>
        </x:is>
      </x:c>
      <x:c r="F58" s="6" t="inlineStr">
        <x:is>
          <x:t xml:space="preserve">P0</x:t>
        </x:is>
      </x:c>
      <x:c r="G58" s="6" t="inlineStr">
        <x:is>
          <x:t xml:space="preserve">Update metrics and market signal</x:t>
        </x:is>
      </x:c>
      <x:c r="H58" s="6" t="inlineStr">
        <x:is>
          <x:t xml:space="preserve">Record sends, replies, calls, proposals, cash collected, and what the market said back.</x:t>
        </x:is>
      </x:c>
      <x:c r="I58" s="6" t="inlineStr">
        <x:is>
          <x:t xml:space="preserve">Metrics updated</x:t>
        </x:is>
      </x:c>
      <x:c r="J58" s="6" t="inlineStr">
        <x:is>
          <x:t xml:space="preserve">Daily Metrics row updated</x:t>
        </x:is>
      </x:c>
      <x:c r="K58" s="6" t="inlineStr">
        <x:is>
          <x:t xml:space="preserve">Daily Metrics</x:t>
        </x:is>
      </x:c>
      <x:c r="L58" s="6" t="inlineStr">
        <x:is>
          <x:t xml:space="preserve">Not Started</x:t>
        </x:is>
      </x:c>
      <x:c r="M58" s="6" t="inlineStr">
        <x:is>
          <x:t xml:space="preserve">TRUE</x:t>
        </x:is>
      </x:c>
      <x:c r="N58" s="6" t="n">
        <x:v>15</x:v>
      </x:c>
      <x:c r="O58" s="6" t="inlineStr">
        <x:is>
          <x:t xml:space="preserve"/>
        </x:is>
      </x:c>
      <x:c r="P58" s="6" t="inlineStr">
        <x:is>
          <x:t xml:space="preserve"/>
        </x:is>
      </x:c>
    </x:row>
    <x:row r="59">
      <x:c r="A59" s="11" t="n">
        <x:v>46227</x:v>
      </x:c>
      <x:c r="B59" s="4" t="inlineStr">
        <x:is>
          <x:t xml:space="preserve">Fri</x:t>
        </x:is>
      </x:c>
      <x:c r="C59" s="4" t="inlineStr">
        <x:is>
          <x:t xml:space="preserve">07:30</x:t>
        </x:is>
      </x:c>
      <x:c r="D59" s="4" t="inlineStr">
        <x:is>
          <x:t xml:space="preserve">08:00</x:t>
        </x:is>
      </x:c>
      <x:c r="E59" s="4" t="inlineStr">
        <x:is>
          <x:t xml:space="preserve">Admin/Review</x:t>
        </x:is>
      </x:c>
      <x:c r="F59" s="4" t="inlineStr">
        <x:is>
          <x:t xml:space="preserve">P0</x:t>
        </x:is>
      </x:c>
      <x:c r="G59" s="4" t="inlineStr">
        <x:is>
          <x:t xml:space="preserve">Morning pipeline review</x:t>
        </x:is>
      </x:c>
      <x:c r="H59" s="4" t="inlineStr">
        <x:is>
          <x:t xml:space="preserve">Review replies, due follow-ups, calls, and yesterday's market signal. Pick the 3 outcomes that matter today.</x:t>
        </x:is>
      </x:c>
      <x:c r="I59" s="4" t="inlineStr">
        <x:is>
          <x:t xml:space="preserve">Daily priority list</x:t>
        </x:is>
      </x:c>
      <x:c r="J59" s="4" t="inlineStr">
        <x:is>
          <x:t xml:space="preserve">3 outcomes selected</x:t>
        </x:is>
      </x:c>
      <x:c r="K59" s="4" t="inlineStr">
        <x:is>
          <x:t xml:space="preserve">Daily Metrics</x:t>
        </x:is>
      </x:c>
      <x:c r="L59" s="4" t="inlineStr">
        <x:is>
          <x:t xml:space="preserve">Not Started</x:t>
        </x:is>
      </x:c>
      <x:c r="M59" s="4" t="inlineStr">
        <x:is>
          <x:t xml:space="preserve">TRUE</x:t>
        </x:is>
      </x:c>
      <x:c r="N59" s="4" t="n">
        <x:v>15</x:v>
      </x:c>
      <x:c r="O59" s="4" t="inlineStr">
        <x:is>
          <x:t xml:space="preserve"/>
        </x:is>
      </x:c>
      <x:c r="P59" s="4" t="inlineStr">
        <x:is>
          <x:t xml:space="preserve"/>
        </x:is>
      </x:c>
    </x:row>
    <x:row r="60">
      <x:c r="A60" s="12" t="n">
        <x:v>46227</x:v>
      </x:c>
      <x:c r="B60" s="6" t="inlineStr">
        <x:is>
          <x:t xml:space="preserve">Fri</x:t>
        </x:is>
      </x:c>
      <x:c r="C60" s="6" t="inlineStr">
        <x:is>
          <x:t xml:space="preserve">12:30</x:t>
        </x:is>
      </x:c>
      <x:c r="D60" s="6" t="inlineStr">
        <x:is>
          <x:t xml:space="preserve">13:15</x:t>
        </x:is>
      </x:c>
      <x:c r="E60" s="6" t="inlineStr">
        <x:is>
          <x:t xml:space="preserve">Warm Network</x:t>
        </x:is>
      </x:c>
      <x:c r="F60" s="6" t="inlineStr">
        <x:is>
          <x:t xml:space="preserve">P0</x:t>
        </x:is>
      </x:c>
      <x:c r="G60" s="6" t="inlineStr">
        <x:is>
          <x:t xml:space="preserve">Warm direct asks and follow-ups</x:t>
        </x:is>
      </x:c>
      <x:c r="H60" s="6" t="inlineStr">
        <x:is>
          <x:t xml:space="preserve">Send 10-15 warm/referral touches or follow-ups. Ask for a call, a referral, or permission to audit one workflow.</x:t>
        </x:is>
      </x:c>
      <x:c r="I60" s="6" t="inlineStr">
        <x:is>
          <x:t xml:space="preserve">10-15 warm touches</x:t>
        </x:is>
      </x:c>
      <x:c r="J60" s="6" t="inlineStr">
        <x:is>
          <x:t xml:space="preserve">Touches logged</x:t>
        </x:is>
      </x:c>
      <x:c r="K60" s="6" t="inlineStr">
        <x:is>
          <x:t xml:space="preserve">Warm contacts</x:t>
        </x:is>
      </x:c>
      <x:c r="L60" s="6" t="inlineStr">
        <x:is>
          <x:t xml:space="preserve">Not Started</x:t>
        </x:is>
      </x:c>
      <x:c r="M60" s="6" t="inlineStr">
        <x:is>
          <x:t xml:space="preserve">TRUE</x:t>
        </x:is>
      </x:c>
      <x:c r="N60" s="6" t="n">
        <x:v>15</x:v>
      </x:c>
      <x:c r="O60" s="6" t="inlineStr">
        <x:is>
          <x:t xml:space="preserve"/>
        </x:is>
      </x:c>
      <x:c r="P60" s="6" t="inlineStr">
        <x:is>
          <x:t xml:space="preserve"/>
        </x:is>
      </x:c>
    </x:row>
    <x:row r="61">
      <x:c r="A61" s="11" t="n">
        <x:v>46227</x:v>
      </x:c>
      <x:c r="B61" s="4" t="inlineStr">
        <x:is>
          <x:t xml:space="preserve">Fri</x:t>
        </x:is>
      </x:c>
      <x:c r="C61" s="4" t="inlineStr">
        <x:is>
          <x:t xml:space="preserve">15:30</x:t>
        </x:is>
      </x:c>
      <x:c r="D61" s="4" t="inlineStr">
        <x:is>
          <x:t xml:space="preserve">17:30</x:t>
        </x:is>
      </x:c>
      <x:c r="E61" s="4" t="inlineStr">
        <x:is>
          <x:t xml:space="preserve">Calls/Discovery</x:t>
        </x:is>
      </x:c>
      <x:c r="F61" s="4" t="inlineStr">
        <x:is>
          <x:t xml:space="preserve">P0</x:t>
        </x:is>
      </x:c>
      <x:c r="G61" s="4" t="inlineStr">
        <x:is>
          <x:t xml:space="preserve">Call/proposal block</x:t>
        </x:is>
      </x:c>
      <x:c r="H61" s="4" t="inlineStr">
        <x:is>
          <x:t xml:space="preserve">Hold calls, book calls, or write proposals. Move serious prospects to a paid audit or implementation sprint.</x:t>
        </x:is>
      </x:c>
      <x:c r="I61" s="4" t="inlineStr">
        <x:is>
          <x:t xml:space="preserve">Pipeline advanced</x:t>
        </x:is>
      </x:c>
      <x:c r="J61" s="4" t="inlineStr">
        <x:is>
          <x:t xml:space="preserve">2 calls/proposals advanced</x:t>
        </x:is>
      </x:c>
      <x:c r="K61" s="4" t="inlineStr">
        <x:is>
          <x:t xml:space="preserve">Pipeline Tracker</x:t>
        </x:is>
      </x:c>
      <x:c r="L61" s="4" t="inlineStr">
        <x:is>
          <x:t xml:space="preserve">Not Started</x:t>
        </x:is>
      </x:c>
      <x:c r="M61" s="4" t="inlineStr">
        <x:is>
          <x:t xml:space="preserve">TRUE</x:t>
        </x:is>
      </x:c>
      <x:c r="N61" s="4" t="n">
        <x:v>15</x:v>
      </x:c>
      <x:c r="O61" s="4" t="inlineStr">
        <x:is>
          <x:t xml:space="preserve"/>
        </x:is>
      </x:c>
      <x:c r="P61" s="4" t="inlineStr">
        <x:is>
          <x:t xml:space="preserve"/>
        </x:is>
      </x:c>
    </x:row>
    <x:row r="62">
      <x:c r="A62" s="12" t="n">
        <x:v>46227</x:v>
      </x:c>
      <x:c r="B62" s="6" t="inlineStr">
        <x:is>
          <x:t xml:space="preserve">Fri</x:t>
        </x:is>
      </x:c>
      <x:c r="C62" s="6" t="inlineStr">
        <x:is>
          <x:t xml:space="preserve">19:30</x:t>
        </x:is>
      </x:c>
      <x:c r="D62" s="6" t="inlineStr">
        <x:is>
          <x:t xml:space="preserve">21:00</x:t>
        </x:is>
      </x:c>
      <x:c r="E62" s="6" t="inlineStr">
        <x:is>
          <x:t xml:space="preserve">Agency/Operator</x:t>
        </x:is>
      </x:c>
      <x:c r="F62" s="6" t="inlineStr">
        <x:is>
          <x:t xml:space="preserve">P1</x:t>
        </x:is>
      </x:c>
      <x:c r="G62" s="6" t="inlineStr">
        <x:is>
          <x:t xml:space="preserve">Agency/operator conversion push</x:t>
        </x:is>
      </x:c>
      <x:c r="H62" s="6" t="inlineStr">
        <x:is>
          <x:t xml:space="preserve">Send targeted audit offers to agencies/operators and use the proof pages to establish credibility quickly.</x:t>
        </x:is>
      </x:c>
      <x:c r="I62" s="6" t="inlineStr">
        <x:is>
          <x:t xml:space="preserve">Agency pipeline advanced</x:t>
        </x:is>
      </x:c>
      <x:c r="J62" s="6" t="inlineStr">
        <x:is>
          <x:t xml:space="preserve">10 touches or 1 proposal</x:t>
        </x:is>
      </x:c>
      <x:c r="K62" s="6" t="inlineStr">
        <x:is>
          <x:t xml:space="preserve">Agency prospects</x:t>
        </x:is>
      </x:c>
      <x:c r="L62" s="6" t="inlineStr">
        <x:is>
          <x:t xml:space="preserve">Not Started</x:t>
        </x:is>
      </x:c>
      <x:c r="M62" s="6" t="inlineStr">
        <x:is>
          <x:t xml:space="preserve">TRUE</x:t>
        </x:is>
      </x:c>
      <x:c r="N62" s="6" t="n">
        <x:v>15</x:v>
      </x:c>
      <x:c r="O62" s="6" t="inlineStr">
        <x:is>
          <x:t xml:space="preserve"/>
        </x:is>
      </x:c>
      <x:c r="P62" s="6" t="inlineStr">
        <x:is>
          <x:t xml:space="preserve"/>
        </x:is>
      </x:c>
    </x:row>
    <x:row r="63">
      <x:c r="A63" s="11" t="n">
        <x:v>46227</x:v>
      </x:c>
      <x:c r="B63" s="4" t="inlineStr">
        <x:is>
          <x:t xml:space="preserve">Fri</x:t>
        </x:is>
      </x:c>
      <x:c r="C63" s="4" t="inlineStr">
        <x:is>
          <x:t xml:space="preserve">21:00</x:t>
        </x:is>
      </x:c>
      <x:c r="D63" s="4" t="inlineStr">
        <x:is>
          <x:t xml:space="preserve">21:20</x:t>
        </x:is>
      </x:c>
      <x:c r="E63" s="4" t="inlineStr">
        <x:is>
          <x:t xml:space="preserve">Admin/Review</x:t>
        </x:is>
      </x:c>
      <x:c r="F63" s="4" t="inlineStr">
        <x:is>
          <x:t xml:space="preserve">P0</x:t>
        </x:is>
      </x:c>
      <x:c r="G63" s="4" t="inlineStr">
        <x:is>
          <x:t xml:space="preserve">Update metrics and market signal</x:t>
        </x:is>
      </x:c>
      <x:c r="H63" s="4" t="inlineStr">
        <x:is>
          <x:t xml:space="preserve">Record sends, replies, calls, proposals, cash collected, and what the market said back.</x:t>
        </x:is>
      </x:c>
      <x:c r="I63" s="4" t="inlineStr">
        <x:is>
          <x:t xml:space="preserve">Metrics updated</x:t>
        </x:is>
      </x:c>
      <x:c r="J63" s="4" t="inlineStr">
        <x:is>
          <x:t xml:space="preserve">Daily Metrics row updated</x:t>
        </x:is>
      </x:c>
      <x:c r="K63" s="4" t="inlineStr">
        <x:is>
          <x:t xml:space="preserve">Daily Metrics</x:t>
        </x:is>
      </x:c>
      <x:c r="L63" s="4" t="inlineStr">
        <x:is>
          <x:t xml:space="preserve">Not Started</x:t>
        </x:is>
      </x:c>
      <x:c r="M63" s="4" t="inlineStr">
        <x:is>
          <x:t xml:space="preserve">TRUE</x:t>
        </x:is>
      </x:c>
      <x:c r="N63" s="4" t="n">
        <x:v>15</x:v>
      </x:c>
      <x:c r="O63" s="4" t="inlineStr">
        <x:is>
          <x:t xml:space="preserve"/>
        </x:is>
      </x:c>
      <x:c r="P63" s="4" t="inlineStr">
        <x:is>
          <x:t xml:space="preserve"/>
        </x:is>
      </x:c>
    </x:row>
    <x:row r="64">
      <x:c r="A64" s="12" t="n">
        <x:v>46228</x:v>
      </x:c>
      <x:c r="B64" s="6" t="inlineStr">
        <x:is>
          <x:t xml:space="preserve">Sat</x:t>
        </x:is>
      </x:c>
      <x:c r="C64" s="6" t="inlineStr">
        <x:is>
          <x:t xml:space="preserve">09:00</x:t>
        </x:is>
      </x:c>
      <x:c r="D64" s="6" t="inlineStr">
        <x:is>
          <x:t xml:space="preserve">10:00</x:t>
        </x:is>
      </x:c>
      <x:c r="E64" s="6" t="inlineStr">
        <x:is>
          <x:t xml:space="preserve">Admin/Review</x:t>
        </x:is>
      </x:c>
      <x:c r="F64" s="6" t="inlineStr">
        <x:is>
          <x:t xml:space="preserve">P0</x:t>
        </x:is>
      </x:c>
      <x:c r="G64" s="6" t="inlineStr">
        <x:is>
          <x:t xml:space="preserve">Weekend pipeline cleanup</x:t>
        </x:is>
      </x:c>
      <x:c r="H64" s="6" t="inlineStr">
        <x:is>
          <x:t xml:space="preserve">Clean stages, mark dead leads, prioritize top 15, and prepare Monday follow-ups.</x:t>
        </x:is>
      </x:c>
      <x:c r="I64" s="6" t="inlineStr">
        <x:is>
          <x:t xml:space="preserve">Clean pipeline</x:t>
        </x:is>
      </x:c>
      <x:c r="J64" s="6" t="inlineStr">
        <x:is>
          <x:t xml:space="preserve">Top 15 ranked</x:t>
        </x:is>
      </x:c>
      <x:c r="K64" s="6" t="inlineStr">
        <x:is>
          <x:t xml:space="preserve">Pipeline Tracker</x:t>
        </x:is>
      </x:c>
      <x:c r="L64" s="6" t="inlineStr">
        <x:is>
          <x:t xml:space="preserve">Not Started</x:t>
        </x:is>
      </x:c>
      <x:c r="M64" s="6" t="inlineStr">
        <x:is>
          <x:t xml:space="preserve">TRUE</x:t>
        </x:is>
      </x:c>
      <x:c r="N64" s="6" t="n">
        <x:v>15</x:v>
      </x:c>
      <x:c r="O64" s="6" t="inlineStr">
        <x:is>
          <x:t xml:space="preserve"/>
        </x:is>
      </x:c>
      <x:c r="P64" s="6" t="inlineStr">
        <x:is>
          <x:t xml:space="preserve"/>
        </x:is>
      </x:c>
    </x:row>
    <x:row r="65">
      <x:c r="A65" s="11" t="n">
        <x:v>46228</x:v>
      </x:c>
      <x:c r="B65" s="4" t="inlineStr">
        <x:is>
          <x:t xml:space="preserve">Sat</x:t>
        </x:is>
      </x:c>
      <x:c r="C65" s="4" t="inlineStr">
        <x:is>
          <x:t xml:space="preserve">12:00</x:t>
        </x:is>
      </x:c>
      <x:c r="D65" s="4" t="inlineStr">
        <x:is>
          <x:t xml:space="preserve">13:00</x:t>
        </x:is>
      </x:c>
      <x:c r="E65" s="4" t="inlineStr">
        <x:is>
          <x:t xml:space="preserve">Follow-up</x:t>
        </x:is>
      </x:c>
      <x:c r="F65" s="4" t="inlineStr">
        <x:is>
          <x:t xml:space="preserve">P0</x:t>
        </x:is>
      </x:c>
      <x:c r="G65" s="4" t="inlineStr">
        <x:is>
          <x:t xml:space="preserve">Weekend follow-ups</x:t>
        </x:is>
      </x:c>
      <x:c r="H65" s="4" t="inlineStr">
        <x:is>
          <x:t xml:space="preserve">Send lighter follow-ups and referral asks. Avoid long cold pitches.</x:t>
        </x:is>
      </x:c>
      <x:c r="I65" s="4" t="inlineStr">
        <x:is>
          <x:t xml:space="preserve">Follow-ups sent</x:t>
        </x:is>
      </x:c>
      <x:c r="J65" s="4" t="inlineStr">
        <x:is>
          <x:t xml:space="preserve">10 follow-ups logged</x:t>
        </x:is>
      </x:c>
      <x:c r="K65" s="4" t="inlineStr">
        <x:is>
          <x:t xml:space="preserve">Pipeline Tracker</x:t>
        </x:is>
      </x:c>
      <x:c r="L65" s="4" t="inlineStr">
        <x:is>
          <x:t xml:space="preserve">Not Started</x:t>
        </x:is>
      </x:c>
      <x:c r="M65" s="4" t="inlineStr">
        <x:is>
          <x:t xml:space="preserve">TRUE</x:t>
        </x:is>
      </x:c>
      <x:c r="N65" s="4" t="n">
        <x:v>15</x:v>
      </x:c>
      <x:c r="O65" s="4" t="inlineStr">
        <x:is>
          <x:t xml:space="preserve"/>
        </x:is>
      </x:c>
      <x:c r="P65" s="4" t="inlineStr">
        <x:is>
          <x:t xml:space="preserve"/>
        </x:is>
      </x:c>
    </x:row>
    <x:row r="66">
      <x:c r="A66" s="12" t="n">
        <x:v>46228</x:v>
      </x:c>
      <x:c r="B66" s="6" t="inlineStr">
        <x:is>
          <x:t xml:space="preserve">Sat</x:t>
        </x:is>
      </x:c>
      <x:c r="C66" s="6" t="inlineStr">
        <x:is>
          <x:t xml:space="preserve">16:00</x:t>
        </x:is>
      </x:c>
      <x:c r="D66" s="6" t="inlineStr">
        <x:is>
          <x:t xml:space="preserve">17:30</x:t>
        </x:is>
      </x:c>
      <x:c r="E66" s="6" t="inlineStr">
        <x:is>
          <x:t xml:space="preserve">Proof/Delivery</x:t>
        </x:is>
      </x:c>
      <x:c r="F66" s="6" t="inlineStr">
        <x:is>
          <x:t xml:space="preserve">P1</x:t>
        </x:is>
      </x:c>
      <x:c r="G66" s="6" t="inlineStr">
        <x:is>
          <x:t xml:space="preserve">Proof asset or paid audit delivery</x:t>
        </x:is>
      </x:c>
      <x:c r="H66" s="6" t="inlineStr">
        <x:is>
          <x:t xml:space="preserve">Create one proof asset, Loom teardown, audit map, or implementation proposal that can be reused.</x:t>
        </x:is>
      </x:c>
      <x:c r="I66" s="6" t="inlineStr">
        <x:is>
          <x:t xml:space="preserve">Reusable asset</x:t>
        </x:is>
      </x:c>
      <x:c r="J66" s="6" t="inlineStr">
        <x:is>
          <x:t xml:space="preserve">1 asset finished</x:t>
        </x:is>
      </x:c>
      <x:c r="K66" s="6" t="inlineStr">
        <x:is>
          <x:t xml:space="preserve">Proof assets</x:t>
        </x:is>
      </x:c>
      <x:c r="L66" s="6" t="inlineStr">
        <x:is>
          <x:t xml:space="preserve">Not Started</x:t>
        </x:is>
      </x:c>
      <x:c r="M66" s="6" t="inlineStr">
        <x:is>
          <x:t xml:space="preserve">TRUE</x:t>
        </x:is>
      </x:c>
      <x:c r="N66" s="6" t="n">
        <x:v>15</x:v>
      </x:c>
      <x:c r="O66" s="6" t="inlineStr">
        <x:is>
          <x:t xml:space="preserve"/>
        </x:is>
      </x:c>
      <x:c r="P66" s="6" t="inlineStr">
        <x:is>
          <x:t xml:space="preserve"/>
        </x:is>
      </x:c>
    </x:row>
    <x:row r="67">
      <x:c r="A67" s="11" t="n">
        <x:v>46228</x:v>
      </x:c>
      <x:c r="B67" s="4" t="inlineStr">
        <x:is>
          <x:t xml:space="preserve">Sat</x:t>
        </x:is>
      </x:c>
      <x:c r="C67" s="4" t="inlineStr">
        <x:is>
          <x:t xml:space="preserve">19:30</x:t>
        </x:is>
      </x:c>
      <x:c r="D67" s="4" t="inlineStr">
        <x:is>
          <x:t xml:space="preserve">20:30</x:t>
        </x:is>
      </x:c>
      <x:c r="E67" s="4" t="inlineStr">
        <x:is>
          <x:t xml:space="preserve">Admin/Review</x:t>
        </x:is>
      </x:c>
      <x:c r="F67" s="4" t="inlineStr">
        <x:is>
          <x:t xml:space="preserve">P0</x:t>
        </x:is>
      </x:c>
      <x:c r="G67" s="4" t="inlineStr">
        <x:is>
          <x:t xml:space="preserve">Weekly scorecard</x:t>
        </x:is>
      </x:c>
      <x:c r="H67" s="4" t="inlineStr">
        <x:is>
          <x:t xml:space="preserve">Score messages, replies, calls, proposals, cash, and next-week allocation. Cut weak channels fast.</x:t>
        </x:is>
      </x:c>
      <x:c r="I67" s="4" t="inlineStr">
        <x:is>
          <x:t xml:space="preserve">Scorecard</x:t>
        </x:is>
      </x:c>
      <x:c r="J67" s="4" t="inlineStr">
        <x:is>
          <x:t xml:space="preserve">Allocation updated</x:t>
        </x:is>
      </x:c>
      <x:c r="K67" s="4" t="inlineStr">
        <x:is>
          <x:t xml:space="preserve">Daily Metrics</x:t>
        </x:is>
      </x:c>
      <x:c r="L67" s="4" t="inlineStr">
        <x:is>
          <x:t xml:space="preserve">Not Started</x:t>
        </x:is>
      </x:c>
      <x:c r="M67" s="4" t="inlineStr">
        <x:is>
          <x:t xml:space="preserve">TRUE</x:t>
        </x:is>
      </x:c>
      <x:c r="N67" s="4" t="n">
        <x:v>15</x:v>
      </x:c>
      <x:c r="O67" s="4" t="inlineStr">
        <x:is>
          <x:t xml:space="preserve"/>
        </x:is>
      </x:c>
      <x:c r="P67" s="4" t="inlineStr">
        <x:is>
          <x:t xml:space="preserve"/>
        </x:is>
      </x:c>
    </x:row>
    <x:row r="68">
      <x:c r="A68" s="12" t="n">
        <x:v>46229</x:v>
      </x:c>
      <x:c r="B68" s="6" t="inlineStr">
        <x:is>
          <x:t xml:space="preserve">Sun</x:t>
        </x:is>
      </x:c>
      <x:c r="C68" s="6" t="inlineStr">
        <x:is>
          <x:t xml:space="preserve">09:00</x:t>
        </x:is>
      </x:c>
      <x:c r="D68" s="6" t="inlineStr">
        <x:is>
          <x:t xml:space="preserve">10:00</x:t>
        </x:is>
      </x:c>
      <x:c r="E68" s="6" t="inlineStr">
        <x:is>
          <x:t xml:space="preserve">Admin/Review</x:t>
        </x:is>
      </x:c>
      <x:c r="F68" s="6" t="inlineStr">
        <x:is>
          <x:t xml:space="preserve">P0</x:t>
        </x:is>
      </x:c>
      <x:c r="G68" s="6" t="inlineStr">
        <x:is>
          <x:t xml:space="preserve">Weekend pipeline cleanup</x:t>
        </x:is>
      </x:c>
      <x:c r="H68" s="6" t="inlineStr">
        <x:is>
          <x:t xml:space="preserve">Clean stages, mark dead leads, prioritize top 15, and prepare Monday follow-ups.</x:t>
        </x:is>
      </x:c>
      <x:c r="I68" s="6" t="inlineStr">
        <x:is>
          <x:t xml:space="preserve">Clean pipeline</x:t>
        </x:is>
      </x:c>
      <x:c r="J68" s="6" t="inlineStr">
        <x:is>
          <x:t xml:space="preserve">Top 15 ranked</x:t>
        </x:is>
      </x:c>
      <x:c r="K68" s="6" t="inlineStr">
        <x:is>
          <x:t xml:space="preserve">Pipeline Tracker</x:t>
        </x:is>
      </x:c>
      <x:c r="L68" s="6" t="inlineStr">
        <x:is>
          <x:t xml:space="preserve">Not Started</x:t>
        </x:is>
      </x:c>
      <x:c r="M68" s="6" t="inlineStr">
        <x:is>
          <x:t xml:space="preserve">TRUE</x:t>
        </x:is>
      </x:c>
      <x:c r="N68" s="6" t="n">
        <x:v>15</x:v>
      </x:c>
      <x:c r="O68" s="6" t="inlineStr">
        <x:is>
          <x:t xml:space="preserve"/>
        </x:is>
      </x:c>
      <x:c r="P68" s="6" t="inlineStr">
        <x:is>
          <x:t xml:space="preserve"/>
        </x:is>
      </x:c>
    </x:row>
    <x:row r="69">
      <x:c r="A69" s="11" t="n">
        <x:v>46229</x:v>
      </x:c>
      <x:c r="B69" s="4" t="inlineStr">
        <x:is>
          <x:t xml:space="preserve">Sun</x:t>
        </x:is>
      </x:c>
      <x:c r="C69" s="4" t="inlineStr">
        <x:is>
          <x:t xml:space="preserve">12:00</x:t>
        </x:is>
      </x:c>
      <x:c r="D69" s="4" t="inlineStr">
        <x:is>
          <x:t xml:space="preserve">13:00</x:t>
        </x:is>
      </x:c>
      <x:c r="E69" s="4" t="inlineStr">
        <x:is>
          <x:t xml:space="preserve">Follow-up</x:t>
        </x:is>
      </x:c>
      <x:c r="F69" s="4" t="inlineStr">
        <x:is>
          <x:t xml:space="preserve">P0</x:t>
        </x:is>
      </x:c>
      <x:c r="G69" s="4" t="inlineStr">
        <x:is>
          <x:t xml:space="preserve">Weekend follow-ups</x:t>
        </x:is>
      </x:c>
      <x:c r="H69" s="4" t="inlineStr">
        <x:is>
          <x:t xml:space="preserve">Send lighter follow-ups and referral asks. Avoid long cold pitches.</x:t>
        </x:is>
      </x:c>
      <x:c r="I69" s="4" t="inlineStr">
        <x:is>
          <x:t xml:space="preserve">Follow-ups sent</x:t>
        </x:is>
      </x:c>
      <x:c r="J69" s="4" t="inlineStr">
        <x:is>
          <x:t xml:space="preserve">10 follow-ups logged</x:t>
        </x:is>
      </x:c>
      <x:c r="K69" s="4" t="inlineStr">
        <x:is>
          <x:t xml:space="preserve">Pipeline Tracker</x:t>
        </x:is>
      </x:c>
      <x:c r="L69" s="4" t="inlineStr">
        <x:is>
          <x:t xml:space="preserve">Not Started</x:t>
        </x:is>
      </x:c>
      <x:c r="M69" s="4" t="inlineStr">
        <x:is>
          <x:t xml:space="preserve">TRUE</x:t>
        </x:is>
      </x:c>
      <x:c r="N69" s="4" t="n">
        <x:v>15</x:v>
      </x:c>
      <x:c r="O69" s="4" t="inlineStr">
        <x:is>
          <x:t xml:space="preserve"/>
        </x:is>
      </x:c>
      <x:c r="P69" s="4" t="inlineStr">
        <x:is>
          <x:t xml:space="preserve"/>
        </x:is>
      </x:c>
    </x:row>
    <x:row r="70">
      <x:c r="A70" s="12" t="n">
        <x:v>46229</x:v>
      </x:c>
      <x:c r="B70" s="6" t="inlineStr">
        <x:is>
          <x:t xml:space="preserve">Sun</x:t>
        </x:is>
      </x:c>
      <x:c r="C70" s="6" t="inlineStr">
        <x:is>
          <x:t xml:space="preserve">16:00</x:t>
        </x:is>
      </x:c>
      <x:c r="D70" s="6" t="inlineStr">
        <x:is>
          <x:t xml:space="preserve">17:30</x:t>
        </x:is>
      </x:c>
      <x:c r="E70" s="6" t="inlineStr">
        <x:is>
          <x:t xml:space="preserve">Proof/Delivery</x:t>
        </x:is>
      </x:c>
      <x:c r="F70" s="6" t="inlineStr">
        <x:is>
          <x:t xml:space="preserve">P1</x:t>
        </x:is>
      </x:c>
      <x:c r="G70" s="6" t="inlineStr">
        <x:is>
          <x:t xml:space="preserve">Proof asset or paid audit delivery</x:t>
        </x:is>
      </x:c>
      <x:c r="H70" s="6" t="inlineStr">
        <x:is>
          <x:t xml:space="preserve">Create one proof asset, Loom teardown, audit map, or implementation proposal that can be reused.</x:t>
        </x:is>
      </x:c>
      <x:c r="I70" s="6" t="inlineStr">
        <x:is>
          <x:t xml:space="preserve">Reusable asset</x:t>
        </x:is>
      </x:c>
      <x:c r="J70" s="6" t="inlineStr">
        <x:is>
          <x:t xml:space="preserve">1 asset finished</x:t>
        </x:is>
      </x:c>
      <x:c r="K70" s="6" t="inlineStr">
        <x:is>
          <x:t xml:space="preserve">Proof assets</x:t>
        </x:is>
      </x:c>
      <x:c r="L70" s="6" t="inlineStr">
        <x:is>
          <x:t xml:space="preserve">Not Started</x:t>
        </x:is>
      </x:c>
      <x:c r="M70" s="6" t="inlineStr">
        <x:is>
          <x:t xml:space="preserve">TRUE</x:t>
        </x:is>
      </x:c>
      <x:c r="N70" s="6" t="n">
        <x:v>15</x:v>
      </x:c>
      <x:c r="O70" s="6" t="inlineStr">
        <x:is>
          <x:t xml:space="preserve"/>
        </x:is>
      </x:c>
      <x:c r="P70" s="6" t="inlineStr">
        <x:is>
          <x:t xml:space="preserve"/>
        </x:is>
      </x:c>
    </x:row>
    <x:row r="71">
      <x:c r="A71" s="11" t="n">
        <x:v>46229</x:v>
      </x:c>
      <x:c r="B71" s="4" t="inlineStr">
        <x:is>
          <x:t xml:space="preserve">Sun</x:t>
        </x:is>
      </x:c>
      <x:c r="C71" s="4" t="inlineStr">
        <x:is>
          <x:t xml:space="preserve">19:30</x:t>
        </x:is>
      </x:c>
      <x:c r="D71" s="4" t="inlineStr">
        <x:is>
          <x:t xml:space="preserve">20:30</x:t>
        </x:is>
      </x:c>
      <x:c r="E71" s="4" t="inlineStr">
        <x:is>
          <x:t xml:space="preserve">Admin/Review</x:t>
        </x:is>
      </x:c>
      <x:c r="F71" s="4" t="inlineStr">
        <x:is>
          <x:t xml:space="preserve">P0</x:t>
        </x:is>
      </x:c>
      <x:c r="G71" s="4" t="inlineStr">
        <x:is>
          <x:t xml:space="preserve">Weekly scorecard</x:t>
        </x:is>
      </x:c>
      <x:c r="H71" s="4" t="inlineStr">
        <x:is>
          <x:t xml:space="preserve">Score messages, replies, calls, proposals, cash, and next-week allocation. Cut weak channels fast.</x:t>
        </x:is>
      </x:c>
      <x:c r="I71" s="4" t="inlineStr">
        <x:is>
          <x:t xml:space="preserve">Scorecard</x:t>
        </x:is>
      </x:c>
      <x:c r="J71" s="4" t="inlineStr">
        <x:is>
          <x:t xml:space="preserve">Allocation updated</x:t>
        </x:is>
      </x:c>
      <x:c r="K71" s="4" t="inlineStr">
        <x:is>
          <x:t xml:space="preserve">Daily Metrics</x:t>
        </x:is>
      </x:c>
      <x:c r="L71" s="4" t="inlineStr">
        <x:is>
          <x:t xml:space="preserve">Not Started</x:t>
        </x:is>
      </x:c>
      <x:c r="M71" s="4" t="inlineStr">
        <x:is>
          <x:t xml:space="preserve">TRUE</x:t>
        </x:is>
      </x:c>
      <x:c r="N71" s="4" t="n">
        <x:v>15</x:v>
      </x:c>
      <x:c r="O71" s="4" t="inlineStr">
        <x:is>
          <x:t xml:space="preserve"/>
        </x:is>
      </x:c>
      <x:c r="P71" s="4" t="inlineStr">
        <x:is>
          <x:t xml:space="preserve"/>
        </x:is>
      </x:c>
    </x:row>
    <x:row r="72">
      <x:c r="A72" s="12" t="n">
        <x:v>46230</x:v>
      </x:c>
      <x:c r="B72" s="6" t="inlineStr">
        <x:is>
          <x:t xml:space="preserve">Mon</x:t>
        </x:is>
      </x:c>
      <x:c r="C72" s="6" t="inlineStr">
        <x:is>
          <x:t xml:space="preserve">07:30</x:t>
        </x:is>
      </x:c>
      <x:c r="D72" s="6" t="inlineStr">
        <x:is>
          <x:t xml:space="preserve">08:00</x:t>
        </x:is>
      </x:c>
      <x:c r="E72" s="6" t="inlineStr">
        <x:is>
          <x:t xml:space="preserve">Admin/Review</x:t>
        </x:is>
      </x:c>
      <x:c r="F72" s="6" t="inlineStr">
        <x:is>
          <x:t xml:space="preserve">P0</x:t>
        </x:is>
      </x:c>
      <x:c r="G72" s="6" t="inlineStr">
        <x:is>
          <x:t xml:space="preserve">Morning pipeline review</x:t>
        </x:is>
      </x:c>
      <x:c r="H72" s="6" t="inlineStr">
        <x:is>
          <x:t xml:space="preserve">Review replies, due follow-ups, calls, and yesterday's market signal. Pick the 3 outcomes that matter today.</x:t>
        </x:is>
      </x:c>
      <x:c r="I72" s="6" t="inlineStr">
        <x:is>
          <x:t xml:space="preserve">Daily priority list</x:t>
        </x:is>
      </x:c>
      <x:c r="J72" s="6" t="inlineStr">
        <x:is>
          <x:t xml:space="preserve">3 outcomes selected</x:t>
        </x:is>
      </x:c>
      <x:c r="K72" s="6" t="inlineStr">
        <x:is>
          <x:t xml:space="preserve">Daily Metrics</x:t>
        </x:is>
      </x:c>
      <x:c r="L72" s="6" t="inlineStr">
        <x:is>
          <x:t xml:space="preserve">Not Started</x:t>
        </x:is>
      </x:c>
      <x:c r="M72" s="6" t="inlineStr">
        <x:is>
          <x:t xml:space="preserve">TRUE</x:t>
        </x:is>
      </x:c>
      <x:c r="N72" s="6" t="n">
        <x:v>15</x:v>
      </x:c>
      <x:c r="O72" s="6" t="inlineStr">
        <x:is>
          <x:t xml:space="preserve"/>
        </x:is>
      </x:c>
      <x:c r="P72" s="6" t="inlineStr">
        <x:is>
          <x:t xml:space="preserve"/>
        </x:is>
      </x:c>
    </x:row>
    <x:row r="73">
      <x:c r="A73" s="11" t="n">
        <x:v>46230</x:v>
      </x:c>
      <x:c r="B73" s="4" t="inlineStr">
        <x:is>
          <x:t xml:space="preserve">Mon</x:t>
        </x:is>
      </x:c>
      <x:c r="C73" s="4" t="inlineStr">
        <x:is>
          <x:t xml:space="preserve">12:30</x:t>
        </x:is>
      </x:c>
      <x:c r="D73" s="4" t="inlineStr">
        <x:is>
          <x:t xml:space="preserve">13:15</x:t>
        </x:is>
      </x:c>
      <x:c r="E73" s="4" t="inlineStr">
        <x:is>
          <x:t xml:space="preserve">Closing</x:t>
        </x:is>
      </x:c>
      <x:c r="F73" s="4" t="inlineStr">
        <x:is>
          <x:t xml:space="preserve">P0</x:t>
        </x:is>
      </x:c>
      <x:c r="G73" s="4" t="inlineStr">
        <x:is>
          <x:t xml:space="preserve">Close open proposals</x:t>
        </x:is>
      </x:c>
      <x:c r="H73" s="4" t="inlineStr">
        <x:is>
          <x:t xml:space="preserve">Follow up all open proposals, ask for a decision, and offer a smaller paid audit if a sprint is too large.</x:t>
        </x:is>
      </x:c>
      <x:c r="I73" s="4" t="inlineStr">
        <x:is>
          <x:t xml:space="preserve">Proposal decisions</x:t>
        </x:is>
      </x:c>
      <x:c r="J73" s="4" t="inlineStr">
        <x:is>
          <x:t xml:space="preserve">All open deals touched</x:t>
        </x:is>
      </x:c>
      <x:c r="K73" s="4" t="inlineStr">
        <x:is>
          <x:t xml:space="preserve">Pipeline Tracker</x:t>
        </x:is>
      </x:c>
      <x:c r="L73" s="4" t="inlineStr">
        <x:is>
          <x:t xml:space="preserve">Not Started</x:t>
        </x:is>
      </x:c>
      <x:c r="M73" s="4" t="inlineStr">
        <x:is>
          <x:t xml:space="preserve">TRUE</x:t>
        </x:is>
      </x:c>
      <x:c r="N73" s="4" t="n">
        <x:v>15</x:v>
      </x:c>
      <x:c r="O73" s="4" t="inlineStr">
        <x:is>
          <x:t xml:space="preserve"/>
        </x:is>
      </x:c>
      <x:c r="P73" s="4" t="inlineStr">
        <x:is>
          <x:t xml:space="preserve"/>
        </x:is>
      </x:c>
    </x:row>
    <x:row r="74">
      <x:c r="A74" s="12" t="n">
        <x:v>46230</x:v>
      </x:c>
      <x:c r="B74" s="6" t="inlineStr">
        <x:is>
          <x:t xml:space="preserve">Mon</x:t>
        </x:is>
      </x:c>
      <x:c r="C74" s="6" t="inlineStr">
        <x:is>
          <x:t xml:space="preserve">15:30</x:t>
        </x:is>
      </x:c>
      <x:c r="D74" s="6" t="inlineStr">
        <x:is>
          <x:t xml:space="preserve">17:30</x:t>
        </x:is>
      </x:c>
      <x:c r="E74" s="6" t="inlineStr">
        <x:is>
          <x:t xml:space="preserve">Calls/Discovery</x:t>
        </x:is>
      </x:c>
      <x:c r="F74" s="6" t="inlineStr">
        <x:is>
          <x:t xml:space="preserve">P0</x:t>
        </x:is>
      </x:c>
      <x:c r="G74" s="6" t="inlineStr">
        <x:is>
          <x:t xml:space="preserve">Call/proposal block</x:t>
        </x:is>
      </x:c>
      <x:c r="H74" s="6" t="inlineStr">
        <x:is>
          <x:t xml:space="preserve">Hold calls, book calls, or write proposals. Move serious prospects to a paid audit or implementation sprint.</x:t>
        </x:is>
      </x:c>
      <x:c r="I74" s="6" t="inlineStr">
        <x:is>
          <x:t xml:space="preserve">Pipeline advanced</x:t>
        </x:is>
      </x:c>
      <x:c r="J74" s="6" t="inlineStr">
        <x:is>
          <x:t xml:space="preserve">2 calls/proposals advanced</x:t>
        </x:is>
      </x:c>
      <x:c r="K74" s="6" t="inlineStr">
        <x:is>
          <x:t xml:space="preserve">Pipeline Tracker</x:t>
        </x:is>
      </x:c>
      <x:c r="L74" s="6" t="inlineStr">
        <x:is>
          <x:t xml:space="preserve">Not Started</x:t>
        </x:is>
      </x:c>
      <x:c r="M74" s="6" t="inlineStr">
        <x:is>
          <x:t xml:space="preserve">TRUE</x:t>
        </x:is>
      </x:c>
      <x:c r="N74" s="6" t="n">
        <x:v>15</x:v>
      </x:c>
      <x:c r="O74" s="6" t="inlineStr">
        <x:is>
          <x:t xml:space="preserve"/>
        </x:is>
      </x:c>
      <x:c r="P74" s="6" t="inlineStr">
        <x:is>
          <x:t xml:space="preserve"/>
        </x:is>
      </x:c>
    </x:row>
    <x:row r="75">
      <x:c r="A75" s="11" t="n">
        <x:v>46230</x:v>
      </x:c>
      <x:c r="B75" s="4" t="inlineStr">
        <x:is>
          <x:t xml:space="preserve">Mon</x:t>
        </x:is>
      </x:c>
      <x:c r="C75" s="4" t="inlineStr">
        <x:is>
          <x:t xml:space="preserve">19:30</x:t>
        </x:is>
      </x:c>
      <x:c r="D75" s="4" t="inlineStr">
        <x:is>
          <x:t xml:space="preserve">21:00</x:t>
        </x:is>
      </x:c>
      <x:c r="E75" s="4" t="inlineStr">
        <x:is>
          <x:t xml:space="preserve">Delivery/Closing</x:t>
        </x:is>
      </x:c>
      <x:c r="F75" s="4" t="inlineStr">
        <x:is>
          <x:t xml:space="preserve">P0</x:t>
        </x:is>
      </x:c>
      <x:c r="G75" s="4" t="inlineStr">
        <x:is>
          <x:t xml:space="preserve">Deliver paid audit or final close work</x:t>
        </x:is>
      </x:c>
      <x:c r="H75" s="4" t="inlineStr">
        <x:is>
          <x:t xml:space="preserve">Finish paid audit, send Loom, send implementation plan, or make final decision asks.</x:t>
        </x:is>
      </x:c>
      <x:c r="I75" s="4" t="inlineStr">
        <x:is>
          <x:t xml:space="preserve">Delivery/close output</x:t>
        </x:is>
      </x:c>
      <x:c r="J75" s="4" t="inlineStr">
        <x:is>
          <x:t xml:space="preserve">1 deliverable or decision ask</x:t>
        </x:is>
      </x:c>
      <x:c r="K75" s="4" t="inlineStr">
        <x:is>
          <x:t xml:space="preserve">Active deals</x:t>
        </x:is>
      </x:c>
      <x:c r="L75" s="4" t="inlineStr">
        <x:is>
          <x:t xml:space="preserve">Not Started</x:t>
        </x:is>
      </x:c>
      <x:c r="M75" s="4" t="inlineStr">
        <x:is>
          <x:t xml:space="preserve">TRUE</x:t>
        </x:is>
      </x:c>
      <x:c r="N75" s="4" t="n">
        <x:v>15</x:v>
      </x:c>
      <x:c r="O75" s="4" t="inlineStr">
        <x:is>
          <x:t xml:space="preserve"/>
        </x:is>
      </x:c>
      <x:c r="P75" s="4" t="inlineStr">
        <x:is>
          <x:t xml:space="preserve"/>
        </x:is>
      </x:c>
    </x:row>
    <x:row r="76">
      <x:c r="A76" s="12" t="n">
        <x:v>46230</x:v>
      </x:c>
      <x:c r="B76" s="6" t="inlineStr">
        <x:is>
          <x:t xml:space="preserve">Mon</x:t>
        </x:is>
      </x:c>
      <x:c r="C76" s="6" t="inlineStr">
        <x:is>
          <x:t xml:space="preserve">21:00</x:t>
        </x:is>
      </x:c>
      <x:c r="D76" s="6" t="inlineStr">
        <x:is>
          <x:t xml:space="preserve">21:20</x:t>
        </x:is>
      </x:c>
      <x:c r="E76" s="6" t="inlineStr">
        <x:is>
          <x:t xml:space="preserve">Admin/Review</x:t>
        </x:is>
      </x:c>
      <x:c r="F76" s="6" t="inlineStr">
        <x:is>
          <x:t xml:space="preserve">P0</x:t>
        </x:is>
      </x:c>
      <x:c r="G76" s="6" t="inlineStr">
        <x:is>
          <x:t xml:space="preserve">Update metrics and market signal</x:t>
        </x:is>
      </x:c>
      <x:c r="H76" s="6" t="inlineStr">
        <x:is>
          <x:t xml:space="preserve">Record sends, replies, calls, proposals, cash collected, and what the market said back.</x:t>
        </x:is>
      </x:c>
      <x:c r="I76" s="6" t="inlineStr">
        <x:is>
          <x:t xml:space="preserve">Metrics updated</x:t>
        </x:is>
      </x:c>
      <x:c r="J76" s="6" t="inlineStr">
        <x:is>
          <x:t xml:space="preserve">Daily Metrics row updated</x:t>
        </x:is>
      </x:c>
      <x:c r="K76" s="6" t="inlineStr">
        <x:is>
          <x:t xml:space="preserve">Daily Metrics</x:t>
        </x:is>
      </x:c>
      <x:c r="L76" s="6" t="inlineStr">
        <x:is>
          <x:t xml:space="preserve">Not Started</x:t>
        </x:is>
      </x:c>
      <x:c r="M76" s="6" t="inlineStr">
        <x:is>
          <x:t xml:space="preserve">TRUE</x:t>
        </x:is>
      </x:c>
      <x:c r="N76" s="6" t="n">
        <x:v>15</x:v>
      </x:c>
      <x:c r="O76" s="6" t="inlineStr">
        <x:is>
          <x:t xml:space="preserve"/>
        </x:is>
      </x:c>
      <x:c r="P76" s="6" t="inlineStr">
        <x:is>
          <x:t xml:space="preserve"/>
        </x:is>
      </x:c>
    </x:row>
    <x:row r="77">
      <x:c r="A77" s="11" t="n">
        <x:v>46231</x:v>
      </x:c>
      <x:c r="B77" s="4" t="inlineStr">
        <x:is>
          <x:t xml:space="preserve">Tue</x:t>
        </x:is>
      </x:c>
      <x:c r="C77" s="4" t="inlineStr">
        <x:is>
          <x:t xml:space="preserve">07:30</x:t>
        </x:is>
      </x:c>
      <x:c r="D77" s="4" t="inlineStr">
        <x:is>
          <x:t xml:space="preserve">08:00</x:t>
        </x:is>
      </x:c>
      <x:c r="E77" s="4" t="inlineStr">
        <x:is>
          <x:t xml:space="preserve">Admin/Review</x:t>
        </x:is>
      </x:c>
      <x:c r="F77" s="4" t="inlineStr">
        <x:is>
          <x:t xml:space="preserve">P0</x:t>
        </x:is>
      </x:c>
      <x:c r="G77" s="4" t="inlineStr">
        <x:is>
          <x:t xml:space="preserve">Morning pipeline review</x:t>
        </x:is>
      </x:c>
      <x:c r="H77" s="4" t="inlineStr">
        <x:is>
          <x:t xml:space="preserve">Review replies, due follow-ups, calls, and yesterday's market signal. Pick the 3 outcomes that matter today.</x:t>
        </x:is>
      </x:c>
      <x:c r="I77" s="4" t="inlineStr">
        <x:is>
          <x:t xml:space="preserve">Daily priority list</x:t>
        </x:is>
      </x:c>
      <x:c r="J77" s="4" t="inlineStr">
        <x:is>
          <x:t xml:space="preserve">3 outcomes selected</x:t>
        </x:is>
      </x:c>
      <x:c r="K77" s="4" t="inlineStr">
        <x:is>
          <x:t xml:space="preserve">Daily Metrics</x:t>
        </x:is>
      </x:c>
      <x:c r="L77" s="4" t="inlineStr">
        <x:is>
          <x:t xml:space="preserve">Not Started</x:t>
        </x:is>
      </x:c>
      <x:c r="M77" s="4" t="inlineStr">
        <x:is>
          <x:t xml:space="preserve">TRUE</x:t>
        </x:is>
      </x:c>
      <x:c r="N77" s="4" t="n">
        <x:v>15</x:v>
      </x:c>
      <x:c r="O77" s="4" t="inlineStr">
        <x:is>
          <x:t xml:space="preserve"/>
        </x:is>
      </x:c>
      <x:c r="P77" s="4" t="inlineStr">
        <x:is>
          <x:t xml:space="preserve"/>
        </x:is>
      </x:c>
    </x:row>
    <x:row r="78">
      <x:c r="A78" s="12" t="n">
        <x:v>46231</x:v>
      </x:c>
      <x:c r="B78" s="6" t="inlineStr">
        <x:is>
          <x:t xml:space="preserve">Tue</x:t>
        </x:is>
      </x:c>
      <x:c r="C78" s="6" t="inlineStr">
        <x:is>
          <x:t xml:space="preserve">12:30</x:t>
        </x:is>
      </x:c>
      <x:c r="D78" s="6" t="inlineStr">
        <x:is>
          <x:t xml:space="preserve">13:15</x:t>
        </x:is>
      </x:c>
      <x:c r="E78" s="6" t="inlineStr">
        <x:is>
          <x:t xml:space="preserve">Closing</x:t>
        </x:is>
      </x:c>
      <x:c r="F78" s="6" t="inlineStr">
        <x:is>
          <x:t xml:space="preserve">P0</x:t>
        </x:is>
      </x:c>
      <x:c r="G78" s="6" t="inlineStr">
        <x:is>
          <x:t xml:space="preserve">Close open proposals</x:t>
        </x:is>
      </x:c>
      <x:c r="H78" s="6" t="inlineStr">
        <x:is>
          <x:t xml:space="preserve">Follow up all open proposals, ask for a decision, and offer a smaller paid audit if a sprint is too large.</x:t>
        </x:is>
      </x:c>
      <x:c r="I78" s="6" t="inlineStr">
        <x:is>
          <x:t xml:space="preserve">Proposal decisions</x:t>
        </x:is>
      </x:c>
      <x:c r="J78" s="6" t="inlineStr">
        <x:is>
          <x:t xml:space="preserve">All open deals touched</x:t>
        </x:is>
      </x:c>
      <x:c r="K78" s="6" t="inlineStr">
        <x:is>
          <x:t xml:space="preserve">Pipeline Tracker</x:t>
        </x:is>
      </x:c>
      <x:c r="L78" s="6" t="inlineStr">
        <x:is>
          <x:t xml:space="preserve">Not Started</x:t>
        </x:is>
      </x:c>
      <x:c r="M78" s="6" t="inlineStr">
        <x:is>
          <x:t xml:space="preserve">TRUE</x:t>
        </x:is>
      </x:c>
      <x:c r="N78" s="6" t="n">
        <x:v>15</x:v>
      </x:c>
      <x:c r="O78" s="6" t="inlineStr">
        <x:is>
          <x:t xml:space="preserve"/>
        </x:is>
      </x:c>
      <x:c r="P78" s="6" t="inlineStr">
        <x:is>
          <x:t xml:space="preserve"/>
        </x:is>
      </x:c>
    </x:row>
    <x:row r="79">
      <x:c r="A79" s="11" t="n">
        <x:v>46231</x:v>
      </x:c>
      <x:c r="B79" s="4" t="inlineStr">
        <x:is>
          <x:t xml:space="preserve">Tue</x:t>
        </x:is>
      </x:c>
      <x:c r="C79" s="4" t="inlineStr">
        <x:is>
          <x:t xml:space="preserve">15:30</x:t>
        </x:is>
      </x:c>
      <x:c r="D79" s="4" t="inlineStr">
        <x:is>
          <x:t xml:space="preserve">17:30</x:t>
        </x:is>
      </x:c>
      <x:c r="E79" s="4" t="inlineStr">
        <x:is>
          <x:t xml:space="preserve">Calls/Discovery</x:t>
        </x:is>
      </x:c>
      <x:c r="F79" s="4" t="inlineStr">
        <x:is>
          <x:t xml:space="preserve">P0</x:t>
        </x:is>
      </x:c>
      <x:c r="G79" s="4" t="inlineStr">
        <x:is>
          <x:t xml:space="preserve">Call/proposal block</x:t>
        </x:is>
      </x:c>
      <x:c r="H79" s="4" t="inlineStr">
        <x:is>
          <x:t xml:space="preserve">Hold calls, book calls, or write proposals. Move serious prospects to a paid audit or implementation sprint.</x:t>
        </x:is>
      </x:c>
      <x:c r="I79" s="4" t="inlineStr">
        <x:is>
          <x:t xml:space="preserve">Pipeline advanced</x:t>
        </x:is>
      </x:c>
      <x:c r="J79" s="4" t="inlineStr">
        <x:is>
          <x:t xml:space="preserve">2 calls/proposals advanced</x:t>
        </x:is>
      </x:c>
      <x:c r="K79" s="4" t="inlineStr">
        <x:is>
          <x:t xml:space="preserve">Pipeline Tracker</x:t>
        </x:is>
      </x:c>
      <x:c r="L79" s="4" t="inlineStr">
        <x:is>
          <x:t xml:space="preserve">Not Started</x:t>
        </x:is>
      </x:c>
      <x:c r="M79" s="4" t="inlineStr">
        <x:is>
          <x:t xml:space="preserve">TRUE</x:t>
        </x:is>
      </x:c>
      <x:c r="N79" s="4" t="n">
        <x:v>15</x:v>
      </x:c>
      <x:c r="O79" s="4" t="inlineStr">
        <x:is>
          <x:t xml:space="preserve"/>
        </x:is>
      </x:c>
      <x:c r="P79" s="4" t="inlineStr">
        <x:is>
          <x:t xml:space="preserve"/>
        </x:is>
      </x:c>
    </x:row>
    <x:row r="80">
      <x:c r="A80" s="12" t="n">
        <x:v>46231</x:v>
      </x:c>
      <x:c r="B80" s="6" t="inlineStr">
        <x:is>
          <x:t xml:space="preserve">Tue</x:t>
        </x:is>
      </x:c>
      <x:c r="C80" s="6" t="inlineStr">
        <x:is>
          <x:t xml:space="preserve">19:30</x:t>
        </x:is>
      </x:c>
      <x:c r="D80" s="6" t="inlineStr">
        <x:is>
          <x:t xml:space="preserve">21:00</x:t>
        </x:is>
      </x:c>
      <x:c r="E80" s="6" t="inlineStr">
        <x:is>
          <x:t xml:space="preserve">Delivery/Closing</x:t>
        </x:is>
      </x:c>
      <x:c r="F80" s="6" t="inlineStr">
        <x:is>
          <x:t xml:space="preserve">P0</x:t>
        </x:is>
      </x:c>
      <x:c r="G80" s="6" t="inlineStr">
        <x:is>
          <x:t xml:space="preserve">Deliver paid audit or final close work</x:t>
        </x:is>
      </x:c>
      <x:c r="H80" s="6" t="inlineStr">
        <x:is>
          <x:t xml:space="preserve">Finish paid audit, send Loom, send implementation plan, or make final decision asks.</x:t>
        </x:is>
      </x:c>
      <x:c r="I80" s="6" t="inlineStr">
        <x:is>
          <x:t xml:space="preserve">Delivery/close output</x:t>
        </x:is>
      </x:c>
      <x:c r="J80" s="6" t="inlineStr">
        <x:is>
          <x:t xml:space="preserve">1 deliverable or decision ask</x:t>
        </x:is>
      </x:c>
      <x:c r="K80" s="6" t="inlineStr">
        <x:is>
          <x:t xml:space="preserve">Active deals</x:t>
        </x:is>
      </x:c>
      <x:c r="L80" s="6" t="inlineStr">
        <x:is>
          <x:t xml:space="preserve">Not Started</x:t>
        </x:is>
      </x:c>
      <x:c r="M80" s="6" t="inlineStr">
        <x:is>
          <x:t xml:space="preserve">TRUE</x:t>
        </x:is>
      </x:c>
      <x:c r="N80" s="6" t="n">
        <x:v>15</x:v>
      </x:c>
      <x:c r="O80" s="6" t="inlineStr">
        <x:is>
          <x:t xml:space="preserve"/>
        </x:is>
      </x:c>
      <x:c r="P80" s="6" t="inlineStr">
        <x:is>
          <x:t xml:space="preserve"/>
        </x:is>
      </x:c>
    </x:row>
    <x:row r="81">
      <x:c r="A81" s="11" t="n">
        <x:v>46231</x:v>
      </x:c>
      <x:c r="B81" s="4" t="inlineStr">
        <x:is>
          <x:t xml:space="preserve">Tue</x:t>
        </x:is>
      </x:c>
      <x:c r="C81" s="4" t="inlineStr">
        <x:is>
          <x:t xml:space="preserve">21:00</x:t>
        </x:is>
      </x:c>
      <x:c r="D81" s="4" t="inlineStr">
        <x:is>
          <x:t xml:space="preserve">21:20</x:t>
        </x:is>
      </x:c>
      <x:c r="E81" s="4" t="inlineStr">
        <x:is>
          <x:t xml:space="preserve">Admin/Review</x:t>
        </x:is>
      </x:c>
      <x:c r="F81" s="4" t="inlineStr">
        <x:is>
          <x:t xml:space="preserve">P0</x:t>
        </x:is>
      </x:c>
      <x:c r="G81" s="4" t="inlineStr">
        <x:is>
          <x:t xml:space="preserve">Update metrics and market signal</x:t>
        </x:is>
      </x:c>
      <x:c r="H81" s="4" t="inlineStr">
        <x:is>
          <x:t xml:space="preserve">Record sends, replies, calls, proposals, cash collected, and what the market said back.</x:t>
        </x:is>
      </x:c>
      <x:c r="I81" s="4" t="inlineStr">
        <x:is>
          <x:t xml:space="preserve">Metrics updated</x:t>
        </x:is>
      </x:c>
      <x:c r="J81" s="4" t="inlineStr">
        <x:is>
          <x:t xml:space="preserve">Daily Metrics row updated</x:t>
        </x:is>
      </x:c>
      <x:c r="K81" s="4" t="inlineStr">
        <x:is>
          <x:t xml:space="preserve">Daily Metrics</x:t>
        </x:is>
      </x:c>
      <x:c r="L81" s="4" t="inlineStr">
        <x:is>
          <x:t xml:space="preserve">Not Started</x:t>
        </x:is>
      </x:c>
      <x:c r="M81" s="4" t="inlineStr">
        <x:is>
          <x:t xml:space="preserve">TRUE</x:t>
        </x:is>
      </x:c>
      <x:c r="N81" s="4" t="n">
        <x:v>15</x:v>
      </x:c>
      <x:c r="O81" s="4" t="inlineStr">
        <x:is>
          <x:t xml:space="preserve"/>
        </x:is>
      </x:c>
      <x:c r="P81" s="4" t="inlineStr">
        <x:is>
          <x:t xml:space="preserve"/>
        </x:is>
      </x:c>
    </x:row>
    <x:row r="82">
      <x:c r="A82" s="12" t="n">
        <x:v>46232</x:v>
      </x:c>
      <x:c r="B82" s="6" t="inlineStr">
        <x:is>
          <x:t xml:space="preserve">Wed</x:t>
        </x:is>
      </x:c>
      <x:c r="C82" s="6" t="inlineStr">
        <x:is>
          <x:t xml:space="preserve">07:30</x:t>
        </x:is>
      </x:c>
      <x:c r="D82" s="6" t="inlineStr">
        <x:is>
          <x:t xml:space="preserve">08:00</x:t>
        </x:is>
      </x:c>
      <x:c r="E82" s="6" t="inlineStr">
        <x:is>
          <x:t xml:space="preserve">Admin/Review</x:t>
        </x:is>
      </x:c>
      <x:c r="F82" s="6" t="inlineStr">
        <x:is>
          <x:t xml:space="preserve">P0</x:t>
        </x:is>
      </x:c>
      <x:c r="G82" s="6" t="inlineStr">
        <x:is>
          <x:t xml:space="preserve">Morning pipeline review</x:t>
        </x:is>
      </x:c>
      <x:c r="H82" s="6" t="inlineStr">
        <x:is>
          <x:t xml:space="preserve">Review replies, due follow-ups, calls, and yesterday's market signal. Pick the 3 outcomes that matter today.</x:t>
        </x:is>
      </x:c>
      <x:c r="I82" s="6" t="inlineStr">
        <x:is>
          <x:t xml:space="preserve">Daily priority list</x:t>
        </x:is>
      </x:c>
      <x:c r="J82" s="6" t="inlineStr">
        <x:is>
          <x:t xml:space="preserve">3 outcomes selected</x:t>
        </x:is>
      </x:c>
      <x:c r="K82" s="6" t="inlineStr">
        <x:is>
          <x:t xml:space="preserve">Daily Metrics</x:t>
        </x:is>
      </x:c>
      <x:c r="L82" s="6" t="inlineStr">
        <x:is>
          <x:t xml:space="preserve">Not Started</x:t>
        </x:is>
      </x:c>
      <x:c r="M82" s="6" t="inlineStr">
        <x:is>
          <x:t xml:space="preserve">TRUE</x:t>
        </x:is>
      </x:c>
      <x:c r="N82" s="6" t="n">
        <x:v>15</x:v>
      </x:c>
      <x:c r="O82" s="6" t="inlineStr">
        <x:is>
          <x:t xml:space="preserve"/>
        </x:is>
      </x:c>
      <x:c r="P82" s="6" t="inlineStr">
        <x:is>
          <x:t xml:space="preserve"/>
        </x:is>
      </x:c>
    </x:row>
    <x:row r="83">
      <x:c r="A83" s="11" t="n">
        <x:v>46232</x:v>
      </x:c>
      <x:c r="B83" s="4" t="inlineStr">
        <x:is>
          <x:t xml:space="preserve">Wed</x:t>
        </x:is>
      </x:c>
      <x:c r="C83" s="4" t="inlineStr">
        <x:is>
          <x:t xml:space="preserve">12:30</x:t>
        </x:is>
      </x:c>
      <x:c r="D83" s="4" t="inlineStr">
        <x:is>
          <x:t xml:space="preserve">13:15</x:t>
        </x:is>
      </x:c>
      <x:c r="E83" s="4" t="inlineStr">
        <x:is>
          <x:t xml:space="preserve">Closing</x:t>
        </x:is>
      </x:c>
      <x:c r="F83" s="4" t="inlineStr">
        <x:is>
          <x:t xml:space="preserve">P0</x:t>
        </x:is>
      </x:c>
      <x:c r="G83" s="4" t="inlineStr">
        <x:is>
          <x:t xml:space="preserve">Close open proposals</x:t>
        </x:is>
      </x:c>
      <x:c r="H83" s="4" t="inlineStr">
        <x:is>
          <x:t xml:space="preserve">Follow up all open proposals, ask for a decision, and offer a smaller paid audit if a sprint is too large.</x:t>
        </x:is>
      </x:c>
      <x:c r="I83" s="4" t="inlineStr">
        <x:is>
          <x:t xml:space="preserve">Proposal decisions</x:t>
        </x:is>
      </x:c>
      <x:c r="J83" s="4" t="inlineStr">
        <x:is>
          <x:t xml:space="preserve">All open deals touched</x:t>
        </x:is>
      </x:c>
      <x:c r="K83" s="4" t="inlineStr">
        <x:is>
          <x:t xml:space="preserve">Pipeline Tracker</x:t>
        </x:is>
      </x:c>
      <x:c r="L83" s="4" t="inlineStr">
        <x:is>
          <x:t xml:space="preserve">Not Started</x:t>
        </x:is>
      </x:c>
      <x:c r="M83" s="4" t="inlineStr">
        <x:is>
          <x:t xml:space="preserve">TRUE</x:t>
        </x:is>
      </x:c>
      <x:c r="N83" s="4" t="n">
        <x:v>15</x:v>
      </x:c>
      <x:c r="O83" s="4" t="inlineStr">
        <x:is>
          <x:t xml:space="preserve"/>
        </x:is>
      </x:c>
      <x:c r="P83" s="4" t="inlineStr">
        <x:is>
          <x:t xml:space="preserve"/>
        </x:is>
      </x:c>
    </x:row>
    <x:row r="84">
      <x:c r="A84" s="12" t="n">
        <x:v>46232</x:v>
      </x:c>
      <x:c r="B84" s="6" t="inlineStr">
        <x:is>
          <x:t xml:space="preserve">Wed</x:t>
        </x:is>
      </x:c>
      <x:c r="C84" s="6" t="inlineStr">
        <x:is>
          <x:t xml:space="preserve">15:30</x:t>
        </x:is>
      </x:c>
      <x:c r="D84" s="6" t="inlineStr">
        <x:is>
          <x:t xml:space="preserve">17:30</x:t>
        </x:is>
      </x:c>
      <x:c r="E84" s="6" t="inlineStr">
        <x:is>
          <x:t xml:space="preserve">Calls/Discovery</x:t>
        </x:is>
      </x:c>
      <x:c r="F84" s="6" t="inlineStr">
        <x:is>
          <x:t xml:space="preserve">P0</x:t>
        </x:is>
      </x:c>
      <x:c r="G84" s="6" t="inlineStr">
        <x:is>
          <x:t xml:space="preserve">Call/proposal block</x:t>
        </x:is>
      </x:c>
      <x:c r="H84" s="6" t="inlineStr">
        <x:is>
          <x:t xml:space="preserve">Hold calls, book calls, or write proposals. Move serious prospects to a paid audit or implementation sprint.</x:t>
        </x:is>
      </x:c>
      <x:c r="I84" s="6" t="inlineStr">
        <x:is>
          <x:t xml:space="preserve">Pipeline advanced</x:t>
        </x:is>
      </x:c>
      <x:c r="J84" s="6" t="inlineStr">
        <x:is>
          <x:t xml:space="preserve">2 calls/proposals advanced</x:t>
        </x:is>
      </x:c>
      <x:c r="K84" s="6" t="inlineStr">
        <x:is>
          <x:t xml:space="preserve">Pipeline Tracker</x:t>
        </x:is>
      </x:c>
      <x:c r="L84" s="6" t="inlineStr">
        <x:is>
          <x:t xml:space="preserve">Not Started</x:t>
        </x:is>
      </x:c>
      <x:c r="M84" s="6" t="inlineStr">
        <x:is>
          <x:t xml:space="preserve">TRUE</x:t>
        </x:is>
      </x:c>
      <x:c r="N84" s="6" t="n">
        <x:v>15</x:v>
      </x:c>
      <x:c r="O84" s="6" t="inlineStr">
        <x:is>
          <x:t xml:space="preserve"/>
        </x:is>
      </x:c>
      <x:c r="P84" s="6" t="inlineStr">
        <x:is>
          <x:t xml:space="preserve"/>
        </x:is>
      </x:c>
    </x:row>
    <x:row r="85">
      <x:c r="A85" s="11" t="n">
        <x:v>46232</x:v>
      </x:c>
      <x:c r="B85" s="4" t="inlineStr">
        <x:is>
          <x:t xml:space="preserve">Wed</x:t>
        </x:is>
      </x:c>
      <x:c r="C85" s="4" t="inlineStr">
        <x:is>
          <x:t xml:space="preserve">19:30</x:t>
        </x:is>
      </x:c>
      <x:c r="D85" s="4" t="inlineStr">
        <x:is>
          <x:t xml:space="preserve">21:00</x:t>
        </x:is>
      </x:c>
      <x:c r="E85" s="4" t="inlineStr">
        <x:is>
          <x:t xml:space="preserve">Delivery/Closing</x:t>
        </x:is>
      </x:c>
      <x:c r="F85" s="4" t="inlineStr">
        <x:is>
          <x:t xml:space="preserve">P0</x:t>
        </x:is>
      </x:c>
      <x:c r="G85" s="4" t="inlineStr">
        <x:is>
          <x:t xml:space="preserve">Deliver paid audit or final close work</x:t>
        </x:is>
      </x:c>
      <x:c r="H85" s="4" t="inlineStr">
        <x:is>
          <x:t xml:space="preserve">Finish paid audit, send Loom, send implementation plan, or make final decision asks.</x:t>
        </x:is>
      </x:c>
      <x:c r="I85" s="4" t="inlineStr">
        <x:is>
          <x:t xml:space="preserve">Delivery/close output</x:t>
        </x:is>
      </x:c>
      <x:c r="J85" s="4" t="inlineStr">
        <x:is>
          <x:t xml:space="preserve">1 deliverable or decision ask</x:t>
        </x:is>
      </x:c>
      <x:c r="K85" s="4" t="inlineStr">
        <x:is>
          <x:t xml:space="preserve">Active deals</x:t>
        </x:is>
      </x:c>
      <x:c r="L85" s="4" t="inlineStr">
        <x:is>
          <x:t xml:space="preserve">Not Started</x:t>
        </x:is>
      </x:c>
      <x:c r="M85" s="4" t="inlineStr">
        <x:is>
          <x:t xml:space="preserve">TRUE</x:t>
        </x:is>
      </x:c>
      <x:c r="N85" s="4" t="n">
        <x:v>15</x:v>
      </x:c>
      <x:c r="O85" s="4" t="inlineStr">
        <x:is>
          <x:t xml:space="preserve"/>
        </x:is>
      </x:c>
      <x:c r="P85" s="4" t="inlineStr">
        <x:is>
          <x:t xml:space="preserve"/>
        </x:is>
      </x:c>
    </x:row>
    <x:row r="86">
      <x:c r="A86" s="12" t="n">
        <x:v>46232</x:v>
      </x:c>
      <x:c r="B86" s="6" t="inlineStr">
        <x:is>
          <x:t xml:space="preserve">Wed</x:t>
        </x:is>
      </x:c>
      <x:c r="C86" s="6" t="inlineStr">
        <x:is>
          <x:t xml:space="preserve">21:00</x:t>
        </x:is>
      </x:c>
      <x:c r="D86" s="6" t="inlineStr">
        <x:is>
          <x:t xml:space="preserve">21:20</x:t>
        </x:is>
      </x:c>
      <x:c r="E86" s="6" t="inlineStr">
        <x:is>
          <x:t xml:space="preserve">Admin/Review</x:t>
        </x:is>
      </x:c>
      <x:c r="F86" s="6" t="inlineStr">
        <x:is>
          <x:t xml:space="preserve">P0</x:t>
        </x:is>
      </x:c>
      <x:c r="G86" s="6" t="inlineStr">
        <x:is>
          <x:t xml:space="preserve">Update metrics and market signal</x:t>
        </x:is>
      </x:c>
      <x:c r="H86" s="6" t="inlineStr">
        <x:is>
          <x:t xml:space="preserve">Record sends, replies, calls, proposals, cash collected, and what the market said back.</x:t>
        </x:is>
      </x:c>
      <x:c r="I86" s="6" t="inlineStr">
        <x:is>
          <x:t xml:space="preserve">Metrics updated</x:t>
        </x:is>
      </x:c>
      <x:c r="J86" s="6" t="inlineStr">
        <x:is>
          <x:t xml:space="preserve">Daily Metrics row updated</x:t>
        </x:is>
      </x:c>
      <x:c r="K86" s="6" t="inlineStr">
        <x:is>
          <x:t xml:space="preserve">Daily Metrics</x:t>
        </x:is>
      </x:c>
      <x:c r="L86" s="6" t="inlineStr">
        <x:is>
          <x:t xml:space="preserve">Not Started</x:t>
        </x:is>
      </x:c>
      <x:c r="M86" s="6" t="inlineStr">
        <x:is>
          <x:t xml:space="preserve">TRUE</x:t>
        </x:is>
      </x:c>
      <x:c r="N86" s="6" t="n">
        <x:v>15</x:v>
      </x:c>
      <x:c r="O86" s="6" t="inlineStr">
        <x:is>
          <x:t xml:space="preserve"/>
        </x:is>
      </x:c>
      <x:c r="P86" s="6" t="inlineStr">
        <x:is>
          <x:t xml:space="preserve"/>
        </x:is>
      </x:c>
    </x:row>
    <x:row r="87">
      <x:c r="A87" s="11" t="n">
        <x:v>46233</x:v>
      </x:c>
      <x:c r="B87" s="4" t="inlineStr">
        <x:is>
          <x:t xml:space="preserve">Thu</x:t>
        </x:is>
      </x:c>
      <x:c r="C87" s="4" t="inlineStr">
        <x:is>
          <x:t xml:space="preserve">07:30</x:t>
        </x:is>
      </x:c>
      <x:c r="D87" s="4" t="inlineStr">
        <x:is>
          <x:t xml:space="preserve">08:00</x:t>
        </x:is>
      </x:c>
      <x:c r="E87" s="4" t="inlineStr">
        <x:is>
          <x:t xml:space="preserve">Admin/Review</x:t>
        </x:is>
      </x:c>
      <x:c r="F87" s="4" t="inlineStr">
        <x:is>
          <x:t xml:space="preserve">P0</x:t>
        </x:is>
      </x:c>
      <x:c r="G87" s="4" t="inlineStr">
        <x:is>
          <x:t xml:space="preserve">Morning pipeline review</x:t>
        </x:is>
      </x:c>
      <x:c r="H87" s="4" t="inlineStr">
        <x:is>
          <x:t xml:space="preserve">Review replies, due follow-ups, calls, and yesterday's market signal. Pick the 3 outcomes that matter today.</x:t>
        </x:is>
      </x:c>
      <x:c r="I87" s="4" t="inlineStr">
        <x:is>
          <x:t xml:space="preserve">Daily priority list</x:t>
        </x:is>
      </x:c>
      <x:c r="J87" s="4" t="inlineStr">
        <x:is>
          <x:t xml:space="preserve">3 outcomes selected</x:t>
        </x:is>
      </x:c>
      <x:c r="K87" s="4" t="inlineStr">
        <x:is>
          <x:t xml:space="preserve">Daily Metrics</x:t>
        </x:is>
      </x:c>
      <x:c r="L87" s="4" t="inlineStr">
        <x:is>
          <x:t xml:space="preserve">Not Started</x:t>
        </x:is>
      </x:c>
      <x:c r="M87" s="4" t="inlineStr">
        <x:is>
          <x:t xml:space="preserve">TRUE</x:t>
        </x:is>
      </x:c>
      <x:c r="N87" s="4" t="n">
        <x:v>15</x:v>
      </x:c>
      <x:c r="O87" s="4" t="inlineStr">
        <x:is>
          <x:t xml:space="preserve"/>
        </x:is>
      </x:c>
      <x:c r="P87" s="4" t="inlineStr">
        <x:is>
          <x:t xml:space="preserve"/>
        </x:is>
      </x:c>
    </x:row>
    <x:row r="88">
      <x:c r="A88" s="12" t="n">
        <x:v>46233</x:v>
      </x:c>
      <x:c r="B88" s="6" t="inlineStr">
        <x:is>
          <x:t xml:space="preserve">Thu</x:t>
        </x:is>
      </x:c>
      <x:c r="C88" s="6" t="inlineStr">
        <x:is>
          <x:t xml:space="preserve">12:30</x:t>
        </x:is>
      </x:c>
      <x:c r="D88" s="6" t="inlineStr">
        <x:is>
          <x:t xml:space="preserve">13:15</x:t>
        </x:is>
      </x:c>
      <x:c r="E88" s="6" t="inlineStr">
        <x:is>
          <x:t xml:space="preserve">Closing</x:t>
        </x:is>
      </x:c>
      <x:c r="F88" s="6" t="inlineStr">
        <x:is>
          <x:t xml:space="preserve">P0</x:t>
        </x:is>
      </x:c>
      <x:c r="G88" s="6" t="inlineStr">
        <x:is>
          <x:t xml:space="preserve">Close open proposals</x:t>
        </x:is>
      </x:c>
      <x:c r="H88" s="6" t="inlineStr">
        <x:is>
          <x:t xml:space="preserve">Follow up all open proposals, ask for a decision, and offer a smaller paid audit if a sprint is too large.</x:t>
        </x:is>
      </x:c>
      <x:c r="I88" s="6" t="inlineStr">
        <x:is>
          <x:t xml:space="preserve">Proposal decisions</x:t>
        </x:is>
      </x:c>
      <x:c r="J88" s="6" t="inlineStr">
        <x:is>
          <x:t xml:space="preserve">All open deals touched</x:t>
        </x:is>
      </x:c>
      <x:c r="K88" s="6" t="inlineStr">
        <x:is>
          <x:t xml:space="preserve">Pipeline Tracker</x:t>
        </x:is>
      </x:c>
      <x:c r="L88" s="6" t="inlineStr">
        <x:is>
          <x:t xml:space="preserve">Not Started</x:t>
        </x:is>
      </x:c>
      <x:c r="M88" s="6" t="inlineStr">
        <x:is>
          <x:t xml:space="preserve">TRUE</x:t>
        </x:is>
      </x:c>
      <x:c r="N88" s="6" t="n">
        <x:v>15</x:v>
      </x:c>
      <x:c r="O88" s="6" t="inlineStr">
        <x:is>
          <x:t xml:space="preserve"/>
        </x:is>
      </x:c>
      <x:c r="P88" s="6" t="inlineStr">
        <x:is>
          <x:t xml:space="preserve"/>
        </x:is>
      </x:c>
    </x:row>
    <x:row r="89">
      <x:c r="A89" s="11" t="n">
        <x:v>46233</x:v>
      </x:c>
      <x:c r="B89" s="4" t="inlineStr">
        <x:is>
          <x:t xml:space="preserve">Thu</x:t>
        </x:is>
      </x:c>
      <x:c r="C89" s="4" t="inlineStr">
        <x:is>
          <x:t xml:space="preserve">15:30</x:t>
        </x:is>
      </x:c>
      <x:c r="D89" s="4" t="inlineStr">
        <x:is>
          <x:t xml:space="preserve">17:30</x:t>
        </x:is>
      </x:c>
      <x:c r="E89" s="4" t="inlineStr">
        <x:is>
          <x:t xml:space="preserve">Calls/Discovery</x:t>
        </x:is>
      </x:c>
      <x:c r="F89" s="4" t="inlineStr">
        <x:is>
          <x:t xml:space="preserve">P0</x:t>
        </x:is>
      </x:c>
      <x:c r="G89" s="4" t="inlineStr">
        <x:is>
          <x:t xml:space="preserve">Call/proposal block</x:t>
        </x:is>
      </x:c>
      <x:c r="H89" s="4" t="inlineStr">
        <x:is>
          <x:t xml:space="preserve">Hold calls, book calls, or write proposals. Move serious prospects to a paid audit or implementation sprint.</x:t>
        </x:is>
      </x:c>
      <x:c r="I89" s="4" t="inlineStr">
        <x:is>
          <x:t xml:space="preserve">Pipeline advanced</x:t>
        </x:is>
      </x:c>
      <x:c r="J89" s="4" t="inlineStr">
        <x:is>
          <x:t xml:space="preserve">2 calls/proposals advanced</x:t>
        </x:is>
      </x:c>
      <x:c r="K89" s="4" t="inlineStr">
        <x:is>
          <x:t xml:space="preserve">Pipeline Tracker</x:t>
        </x:is>
      </x:c>
      <x:c r="L89" s="4" t="inlineStr">
        <x:is>
          <x:t xml:space="preserve">Not Started</x:t>
        </x:is>
      </x:c>
      <x:c r="M89" s="4" t="inlineStr">
        <x:is>
          <x:t xml:space="preserve">TRUE</x:t>
        </x:is>
      </x:c>
      <x:c r="N89" s="4" t="n">
        <x:v>15</x:v>
      </x:c>
      <x:c r="O89" s="4" t="inlineStr">
        <x:is>
          <x:t xml:space="preserve"/>
        </x:is>
      </x:c>
      <x:c r="P89" s="4" t="inlineStr">
        <x:is>
          <x:t xml:space="preserve"/>
        </x:is>
      </x:c>
    </x:row>
    <x:row r="90">
      <x:c r="A90" s="12" t="n">
        <x:v>46233</x:v>
      </x:c>
      <x:c r="B90" s="6" t="inlineStr">
        <x:is>
          <x:t xml:space="preserve">Thu</x:t>
        </x:is>
      </x:c>
      <x:c r="C90" s="6" t="inlineStr">
        <x:is>
          <x:t xml:space="preserve">19:30</x:t>
        </x:is>
      </x:c>
      <x:c r="D90" s="6" t="inlineStr">
        <x:is>
          <x:t xml:space="preserve">21:00</x:t>
        </x:is>
      </x:c>
      <x:c r="E90" s="6" t="inlineStr">
        <x:is>
          <x:t xml:space="preserve">Delivery/Closing</x:t>
        </x:is>
      </x:c>
      <x:c r="F90" s="6" t="inlineStr">
        <x:is>
          <x:t xml:space="preserve">P0</x:t>
        </x:is>
      </x:c>
      <x:c r="G90" s="6" t="inlineStr">
        <x:is>
          <x:t xml:space="preserve">Deliver paid audit or final close work</x:t>
        </x:is>
      </x:c>
      <x:c r="H90" s="6" t="inlineStr">
        <x:is>
          <x:t xml:space="preserve">Finish paid audit, send Loom, send implementation plan, or make final decision asks.</x:t>
        </x:is>
      </x:c>
      <x:c r="I90" s="6" t="inlineStr">
        <x:is>
          <x:t xml:space="preserve">Delivery/close output</x:t>
        </x:is>
      </x:c>
      <x:c r="J90" s="6" t="inlineStr">
        <x:is>
          <x:t xml:space="preserve">1 deliverable or decision ask</x:t>
        </x:is>
      </x:c>
      <x:c r="K90" s="6" t="inlineStr">
        <x:is>
          <x:t xml:space="preserve">Active deals</x:t>
        </x:is>
      </x:c>
      <x:c r="L90" s="6" t="inlineStr">
        <x:is>
          <x:t xml:space="preserve">Not Started</x:t>
        </x:is>
      </x:c>
      <x:c r="M90" s="6" t="inlineStr">
        <x:is>
          <x:t xml:space="preserve">TRUE</x:t>
        </x:is>
      </x:c>
      <x:c r="N90" s="6" t="n">
        <x:v>15</x:v>
      </x:c>
      <x:c r="O90" s="6" t="inlineStr">
        <x:is>
          <x:t xml:space="preserve"/>
        </x:is>
      </x:c>
      <x:c r="P90" s="6" t="inlineStr">
        <x:is>
          <x:t xml:space="preserve"/>
        </x:is>
      </x:c>
    </x:row>
    <x:row r="91">
      <x:c r="A91" s="11" t="n">
        <x:v>46233</x:v>
      </x:c>
      <x:c r="B91" s="4" t="inlineStr">
        <x:is>
          <x:t xml:space="preserve">Thu</x:t>
        </x:is>
      </x:c>
      <x:c r="C91" s="4" t="inlineStr">
        <x:is>
          <x:t xml:space="preserve">21:00</x:t>
        </x:is>
      </x:c>
      <x:c r="D91" s="4" t="inlineStr">
        <x:is>
          <x:t xml:space="preserve">21:20</x:t>
        </x:is>
      </x:c>
      <x:c r="E91" s="4" t="inlineStr">
        <x:is>
          <x:t xml:space="preserve">Admin/Review</x:t>
        </x:is>
      </x:c>
      <x:c r="F91" s="4" t="inlineStr">
        <x:is>
          <x:t xml:space="preserve">P0</x:t>
        </x:is>
      </x:c>
      <x:c r="G91" s="4" t="inlineStr">
        <x:is>
          <x:t xml:space="preserve">Update metrics and market signal</x:t>
        </x:is>
      </x:c>
      <x:c r="H91" s="4" t="inlineStr">
        <x:is>
          <x:t xml:space="preserve">Record sends, replies, calls, proposals, cash collected, and what the market said back.</x:t>
        </x:is>
      </x:c>
      <x:c r="I91" s="4" t="inlineStr">
        <x:is>
          <x:t xml:space="preserve">Metrics updated</x:t>
        </x:is>
      </x:c>
      <x:c r="J91" s="4" t="inlineStr">
        <x:is>
          <x:t xml:space="preserve">Daily Metrics row updated</x:t>
        </x:is>
      </x:c>
      <x:c r="K91" s="4" t="inlineStr">
        <x:is>
          <x:t xml:space="preserve">Daily Metrics</x:t>
        </x:is>
      </x:c>
      <x:c r="L91" s="4" t="inlineStr">
        <x:is>
          <x:t xml:space="preserve">Not Started</x:t>
        </x:is>
      </x:c>
      <x:c r="M91" s="4" t="inlineStr">
        <x:is>
          <x:t xml:space="preserve">TRUE</x:t>
        </x:is>
      </x:c>
      <x:c r="N91" s="4" t="n">
        <x:v>15</x:v>
      </x:c>
      <x:c r="O91" s="4" t="inlineStr">
        <x:is>
          <x:t xml:space="preserve"/>
        </x:is>
      </x:c>
      <x:c r="P91" s="4" t="inlineStr">
        <x:is>
          <x:t xml:space="preserve"/>
        </x:is>
      </x:c>
    </x:row>
    <x:row r="92">
      <x:c r="A92" s="12" t="n">
        <x:v>46234</x:v>
      </x:c>
      <x:c r="B92" s="6" t="inlineStr">
        <x:is>
          <x:t xml:space="preserve">Fri</x:t>
        </x:is>
      </x:c>
      <x:c r="C92" s="6" t="inlineStr">
        <x:is>
          <x:t xml:space="preserve">07:30</x:t>
        </x:is>
      </x:c>
      <x:c r="D92" s="6" t="inlineStr">
        <x:is>
          <x:t xml:space="preserve">08:00</x:t>
        </x:is>
      </x:c>
      <x:c r="E92" s="6" t="inlineStr">
        <x:is>
          <x:t xml:space="preserve">Admin/Review</x:t>
        </x:is>
      </x:c>
      <x:c r="F92" s="6" t="inlineStr">
        <x:is>
          <x:t xml:space="preserve">P0</x:t>
        </x:is>
      </x:c>
      <x:c r="G92" s="6" t="inlineStr">
        <x:is>
          <x:t xml:space="preserve">Morning pipeline review</x:t>
        </x:is>
      </x:c>
      <x:c r="H92" s="6" t="inlineStr">
        <x:is>
          <x:t xml:space="preserve">Review replies, due follow-ups, calls, and yesterday's market signal. Pick the 3 outcomes that matter today.</x:t>
        </x:is>
      </x:c>
      <x:c r="I92" s="6" t="inlineStr">
        <x:is>
          <x:t xml:space="preserve">Daily priority list</x:t>
        </x:is>
      </x:c>
      <x:c r="J92" s="6" t="inlineStr">
        <x:is>
          <x:t xml:space="preserve">3 outcomes selected</x:t>
        </x:is>
      </x:c>
      <x:c r="K92" s="6" t="inlineStr">
        <x:is>
          <x:t xml:space="preserve">Daily Metrics</x:t>
        </x:is>
      </x:c>
      <x:c r="L92" s="6" t="inlineStr">
        <x:is>
          <x:t xml:space="preserve">Not Started</x:t>
        </x:is>
      </x:c>
      <x:c r="M92" s="6" t="inlineStr">
        <x:is>
          <x:t xml:space="preserve">TRUE</x:t>
        </x:is>
      </x:c>
      <x:c r="N92" s="6" t="n">
        <x:v>15</x:v>
      </x:c>
      <x:c r="O92" s="6" t="inlineStr">
        <x:is>
          <x:t xml:space="preserve"/>
        </x:is>
      </x:c>
      <x:c r="P92" s="6" t="inlineStr">
        <x:is>
          <x:t xml:space="preserve"/>
        </x:is>
      </x:c>
    </x:row>
    <x:row r="93">
      <x:c r="A93" s="11" t="n">
        <x:v>46234</x:v>
      </x:c>
      <x:c r="B93" s="4" t="inlineStr">
        <x:is>
          <x:t xml:space="preserve">Fri</x:t>
        </x:is>
      </x:c>
      <x:c r="C93" s="4" t="inlineStr">
        <x:is>
          <x:t xml:space="preserve">12:30</x:t>
        </x:is>
      </x:c>
      <x:c r="D93" s="4" t="inlineStr">
        <x:is>
          <x:t xml:space="preserve">13:15</x:t>
        </x:is>
      </x:c>
      <x:c r="E93" s="4" t="inlineStr">
        <x:is>
          <x:t xml:space="preserve">Closing</x:t>
        </x:is>
      </x:c>
      <x:c r="F93" s="4" t="inlineStr">
        <x:is>
          <x:t xml:space="preserve">P0</x:t>
        </x:is>
      </x:c>
      <x:c r="G93" s="4" t="inlineStr">
        <x:is>
          <x:t xml:space="preserve">Close open proposals</x:t>
        </x:is>
      </x:c>
      <x:c r="H93" s="4" t="inlineStr">
        <x:is>
          <x:t xml:space="preserve">Follow up all open proposals, ask for a decision, and offer a smaller paid audit if a sprint is too large.</x:t>
        </x:is>
      </x:c>
      <x:c r="I93" s="4" t="inlineStr">
        <x:is>
          <x:t xml:space="preserve">Proposal decisions</x:t>
        </x:is>
      </x:c>
      <x:c r="J93" s="4" t="inlineStr">
        <x:is>
          <x:t xml:space="preserve">All open deals touched</x:t>
        </x:is>
      </x:c>
      <x:c r="K93" s="4" t="inlineStr">
        <x:is>
          <x:t xml:space="preserve">Pipeline Tracker</x:t>
        </x:is>
      </x:c>
      <x:c r="L93" s="4" t="inlineStr">
        <x:is>
          <x:t xml:space="preserve">Not Started</x:t>
        </x:is>
      </x:c>
      <x:c r="M93" s="4" t="inlineStr">
        <x:is>
          <x:t xml:space="preserve">TRUE</x:t>
        </x:is>
      </x:c>
      <x:c r="N93" s="4" t="n">
        <x:v>15</x:v>
      </x:c>
      <x:c r="O93" s="4" t="inlineStr">
        <x:is>
          <x:t xml:space="preserve"/>
        </x:is>
      </x:c>
      <x:c r="P93" s="4" t="inlineStr">
        <x:is>
          <x:t xml:space="preserve"/>
        </x:is>
      </x:c>
    </x:row>
    <x:row r="94">
      <x:c r="A94" s="12" t="n">
        <x:v>46234</x:v>
      </x:c>
      <x:c r="B94" s="6" t="inlineStr">
        <x:is>
          <x:t xml:space="preserve">Fri</x:t>
        </x:is>
      </x:c>
      <x:c r="C94" s="6" t="inlineStr">
        <x:is>
          <x:t xml:space="preserve">15:30</x:t>
        </x:is>
      </x:c>
      <x:c r="D94" s="6" t="inlineStr">
        <x:is>
          <x:t xml:space="preserve">17:30</x:t>
        </x:is>
      </x:c>
      <x:c r="E94" s="6" t="inlineStr">
        <x:is>
          <x:t xml:space="preserve">Calls/Discovery</x:t>
        </x:is>
      </x:c>
      <x:c r="F94" s="6" t="inlineStr">
        <x:is>
          <x:t xml:space="preserve">P0</x:t>
        </x:is>
      </x:c>
      <x:c r="G94" s="6" t="inlineStr">
        <x:is>
          <x:t xml:space="preserve">Call/proposal block</x:t>
        </x:is>
      </x:c>
      <x:c r="H94" s="6" t="inlineStr">
        <x:is>
          <x:t xml:space="preserve">Hold calls, book calls, or write proposals. Move serious prospects to a paid audit or implementation sprint.</x:t>
        </x:is>
      </x:c>
      <x:c r="I94" s="6" t="inlineStr">
        <x:is>
          <x:t xml:space="preserve">Pipeline advanced</x:t>
        </x:is>
      </x:c>
      <x:c r="J94" s="6" t="inlineStr">
        <x:is>
          <x:t xml:space="preserve">2 calls/proposals advanced</x:t>
        </x:is>
      </x:c>
      <x:c r="K94" s="6" t="inlineStr">
        <x:is>
          <x:t xml:space="preserve">Pipeline Tracker</x:t>
        </x:is>
      </x:c>
      <x:c r="L94" s="6" t="inlineStr">
        <x:is>
          <x:t xml:space="preserve">Not Started</x:t>
        </x:is>
      </x:c>
      <x:c r="M94" s="6" t="inlineStr">
        <x:is>
          <x:t xml:space="preserve">TRUE</x:t>
        </x:is>
      </x:c>
      <x:c r="N94" s="6" t="n">
        <x:v>15</x:v>
      </x:c>
      <x:c r="O94" s="6" t="inlineStr">
        <x:is>
          <x:t xml:space="preserve"/>
        </x:is>
      </x:c>
      <x:c r="P94" s="6" t="inlineStr">
        <x:is>
          <x:t xml:space="preserve"/>
        </x:is>
      </x:c>
    </x:row>
    <x:row r="95">
      <x:c r="A95" s="11" t="n">
        <x:v>46234</x:v>
      </x:c>
      <x:c r="B95" s="4" t="inlineStr">
        <x:is>
          <x:t xml:space="preserve">Fri</x:t>
        </x:is>
      </x:c>
      <x:c r="C95" s="4" t="inlineStr">
        <x:is>
          <x:t xml:space="preserve">19:30</x:t>
        </x:is>
      </x:c>
      <x:c r="D95" s="4" t="inlineStr">
        <x:is>
          <x:t xml:space="preserve">21:00</x:t>
        </x:is>
      </x:c>
      <x:c r="E95" s="4" t="inlineStr">
        <x:is>
          <x:t xml:space="preserve">Delivery/Closing</x:t>
        </x:is>
      </x:c>
      <x:c r="F95" s="4" t="inlineStr">
        <x:is>
          <x:t xml:space="preserve">P0</x:t>
        </x:is>
      </x:c>
      <x:c r="G95" s="4" t="inlineStr">
        <x:is>
          <x:t xml:space="preserve">Deliver paid audit or final close work</x:t>
        </x:is>
      </x:c>
      <x:c r="H95" s="4" t="inlineStr">
        <x:is>
          <x:t xml:space="preserve">Finish paid audit, send Loom, send implementation plan, or make final decision asks.</x:t>
        </x:is>
      </x:c>
      <x:c r="I95" s="4" t="inlineStr">
        <x:is>
          <x:t xml:space="preserve">Delivery/close output</x:t>
        </x:is>
      </x:c>
      <x:c r="J95" s="4" t="inlineStr">
        <x:is>
          <x:t xml:space="preserve">1 deliverable or decision ask</x:t>
        </x:is>
      </x:c>
      <x:c r="K95" s="4" t="inlineStr">
        <x:is>
          <x:t xml:space="preserve">Active deals</x:t>
        </x:is>
      </x:c>
      <x:c r="L95" s="4" t="inlineStr">
        <x:is>
          <x:t xml:space="preserve">Not Started</x:t>
        </x:is>
      </x:c>
      <x:c r="M95" s="4" t="inlineStr">
        <x:is>
          <x:t xml:space="preserve">TRUE</x:t>
        </x:is>
      </x:c>
      <x:c r="N95" s="4" t="n">
        <x:v>15</x:v>
      </x:c>
      <x:c r="O95" s="4" t="inlineStr">
        <x:is>
          <x:t xml:space="preserve"/>
        </x:is>
      </x:c>
      <x:c r="P95" s="4" t="inlineStr">
        <x:is>
          <x:t xml:space="preserve"/>
        </x:is>
      </x:c>
    </x:row>
    <x:row r="96">
      <x:c r="A96" s="12" t="n">
        <x:v>46234</x:v>
      </x:c>
      <x:c r="B96" s="6" t="inlineStr">
        <x:is>
          <x:t xml:space="preserve">Fri</x:t>
        </x:is>
      </x:c>
      <x:c r="C96" s="6" t="inlineStr">
        <x:is>
          <x:t xml:space="preserve">21:00</x:t>
        </x:is>
      </x:c>
      <x:c r="D96" s="6" t="inlineStr">
        <x:is>
          <x:t xml:space="preserve">21:20</x:t>
        </x:is>
      </x:c>
      <x:c r="E96" s="6" t="inlineStr">
        <x:is>
          <x:t xml:space="preserve">Admin/Review</x:t>
        </x:is>
      </x:c>
      <x:c r="F96" s="6" t="inlineStr">
        <x:is>
          <x:t xml:space="preserve">P0</x:t>
        </x:is>
      </x:c>
      <x:c r="G96" s="6" t="inlineStr">
        <x:is>
          <x:t xml:space="preserve">Update metrics and market signal</x:t>
        </x:is>
      </x:c>
      <x:c r="H96" s="6" t="inlineStr">
        <x:is>
          <x:t xml:space="preserve">Record sends, replies, calls, proposals, cash collected, and what the market said back.</x:t>
        </x:is>
      </x:c>
      <x:c r="I96" s="6" t="inlineStr">
        <x:is>
          <x:t xml:space="preserve">Metrics updated</x:t>
        </x:is>
      </x:c>
      <x:c r="J96" s="6" t="inlineStr">
        <x:is>
          <x:t xml:space="preserve">Daily Metrics row updated</x:t>
        </x:is>
      </x:c>
      <x:c r="K96" s="6" t="inlineStr">
        <x:is>
          <x:t xml:space="preserve">Daily Metrics</x:t>
        </x:is>
      </x:c>
      <x:c r="L96" s="6" t="inlineStr">
        <x:is>
          <x:t xml:space="preserve">Not Started</x:t>
        </x:is>
      </x:c>
      <x:c r="M96" s="6" t="inlineStr">
        <x:is>
          <x:t xml:space="preserve">TRUE</x:t>
        </x:is>
      </x:c>
      <x:c r="N96" s="6" t="n">
        <x:v>15</x:v>
      </x:c>
      <x:c r="O96" s="6" t="inlineStr">
        <x:is>
          <x:t xml:space="preserve"/>
        </x:is>
      </x:c>
      <x:c r="P96" s="6" t="inlineStr">
        <x:is>
          <x:t xml:space="preserve"/>
        </x:is>
      </x:c>
    </x:row>
  </x:sheetData>
  <x:mergeCells>
    <x:mergeCell ref="A1:P1"/>
    <x:mergeCell ref="A2:P2"/>
  </x:mergeCells>
  <x:dataValidations count="2">
    <x:dataValidation type="list" allowBlank="1" showDropDown="0" showInputMessage="0" showErrorMessage="0" sqref="L5:L96">
      <x:formula1>"Not Started,In Progress,Waiting,Done,Skipped"</x:formula1>
    </x:dataValidation>
    <x:dataValidation type="list" allowBlank="1" showDropDown="0" showInputMessage="0" showErrorMessage="0" sqref="M5:M96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8" customWidth="1"/>
    <x:col min="3" max="3" width="15" customWidth="1"/>
    <x:col min="4" max="4" width="22" customWidth="1"/>
    <x:col min="5" max="5" width="24" customWidth="1"/>
    <x:col min="6" max="6" width="10" customWidth="1"/>
    <x:col min="7" max="7" width="13" customWidth="1"/>
    <x:col min="8" max="8" width="12" customWidth="1"/>
    <x:col min="9" max="9" width="14" customWidth="1"/>
    <x:col min="10" max="10" width="16" customWidth="1"/>
    <x:col min="11" max="11" width="15" customWidth="1"/>
    <x:col min="12" max="12" width="14" customWidth="1"/>
    <x:col min="13" max="13" width="52" customWidth="1"/>
    <x:col min="14" max="14" width="52" customWidth="1"/>
    <x:col min="15" max="15" width="9" customWidth="1"/>
  </x:cols>
  <x:sheetData>
    <x:row r="1" ht="28" customHeight="1">
      <x:c r="A1" s="1" t="inlineStr">
        <x:is>
          <x:t xml:space="preserve">Daily Metrics</x:t>
        </x:is>
      </x:c>
    </x:row>
    <x:row r="2" ht="22" customHeight="1">
      <x:c r="A2" s="2" t="inlineStr">
        <x:is>
          <x:t xml:space="preserve">Answer every night: what did the market say back?</x:t>
        </x:is>
      </x:c>
    </x:row>
    <x:row r="4">
      <x:c r="A4" s="9" t="inlineStr">
        <x:is>
          <x:t xml:space="preserve">Date</x:t>
        </x:is>
      </x:c>
      <x:c r="B4" s="9" t="inlineStr">
        <x:is>
          <x:t xml:space="preserve">Day</x:t>
        </x:is>
      </x:c>
      <x:c r="C4" s="9" t="inlineStr">
        <x:is>
          <x:t xml:space="preserve">Warm Messages</x:t>
        </x:is>
      </x:c>
      <x:c r="D4" s="9" t="inlineStr">
        <x:is>
          <x:t xml:space="preserve">Swim/Academy Messages</x:t>
        </x:is>
      </x:c>
      <x:c r="E4" s="9" t="inlineStr">
        <x:is>
          <x:t xml:space="preserve">Agency/Operator Messages</x:t>
        </x:is>
      </x:c>
      <x:c r="F4" s="9" t="inlineStr">
        <x:is>
          <x:t xml:space="preserve">Replies</x:t>
        </x:is>
      </x:c>
      <x:c r="G4" s="9" t="inlineStr">
        <x:is>
          <x:t xml:space="preserve">Calls Booked</x:t>
        </x:is>
      </x:c>
      <x:c r="H4" s="9" t="inlineStr">
        <x:is>
          <x:t xml:space="preserve">Calls Held</x:t>
        </x:is>
      </x:c>
      <x:c r="I4" s="9" t="inlineStr">
        <x:is>
          <x:t xml:space="preserve">Proposals Sent</x:t>
        </x:is>
      </x:c>
      <x:c r="J4" s="9" t="inlineStr">
        <x:is>
          <x:t xml:space="preserve">Paid Audits Sold</x:t>
        </x:is>
      </x:c>
      <x:c r="K4" s="9" t="inlineStr">
        <x:is>
          <x:t xml:space="preserve">Sprint Deposits</x:t>
        </x:is>
      </x:c>
      <x:c r="L4" s="9" t="inlineStr">
        <x:is>
          <x:t xml:space="preserve">Cash Collected</x:t>
        </x:is>
      </x:c>
      <x:c r="M4" s="9" t="inlineStr">
        <x:is>
          <x:t xml:space="preserve">Market Signal</x:t>
        </x:is>
      </x:c>
      <x:c r="N4" s="9" t="inlineStr">
        <x:is>
          <x:t xml:space="preserve">Next Adjustment</x:t>
        </x:is>
      </x:c>
      <x:c r="O4" s="9" t="inlineStr">
        <x:is>
          <x:t xml:space="preserve">Done?</x:t>
        </x:is>
      </x:c>
    </x:row>
    <x:row r="5">
      <x:c r="A5" s="11" t="n">
        <x:v>46215</x:v>
      </x:c>
      <x:c r="B5" s="4" t="inlineStr">
        <x:is>
          <x:t xml:space="preserve">Sun</x:t>
        </x:is>
      </x:c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inlineStr">
        <x:is>
          <x:t xml:space="preserve">FALSE</x:t>
        </x:is>
      </x:c>
    </x:row>
    <x:row r="6">
      <x:c r="A6" s="12" t="n">
        <x:v>46216</x:v>
      </x:c>
      <x:c r="B6" s="6" t="inlineStr">
        <x:is>
          <x:t xml:space="preserve">Mon</x:t>
        </x:is>
      </x:c>
      <x:c r="C6" s="6" t="n"/>
      <x:c r="D6" s="6" t="n"/>
      <x:c r="E6" s="6" t="n"/>
      <x:c r="F6" s="6" t="n"/>
      <x:c r="G6" s="6" t="n"/>
      <x:c r="H6" s="6" t="n"/>
      <x:c r="I6" s="6" t="n"/>
      <x:c r="J6" s="6" t="n"/>
      <x:c r="K6" s="6" t="n"/>
      <x:c r="L6" s="6" t="n"/>
      <x:c r="M6" s="6" t="n"/>
      <x:c r="N6" s="6" t="n"/>
      <x:c r="O6" s="6" t="inlineStr">
        <x:is>
          <x:t xml:space="preserve">FALSE</x:t>
        </x:is>
      </x:c>
    </x:row>
    <x:row r="7">
      <x:c r="A7" s="11" t="n">
        <x:v>46217</x:v>
      </x:c>
      <x:c r="B7" s="4" t="inlineStr">
        <x:is>
          <x:t xml:space="preserve">Tue</x:t>
        </x:is>
      </x:c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inlineStr">
        <x:is>
          <x:t xml:space="preserve">FALSE</x:t>
        </x:is>
      </x:c>
    </x:row>
    <x:row r="8">
      <x:c r="A8" s="12" t="n">
        <x:v>46218</x:v>
      </x:c>
      <x:c r="B8" s="6" t="inlineStr">
        <x:is>
          <x:t xml:space="preserve">Wed</x:t>
        </x:is>
      </x:c>
      <x:c r="C8" s="6" t="n"/>
      <x:c r="D8" s="6" t="n"/>
      <x:c r="E8" s="6" t="n"/>
      <x:c r="F8" s="6" t="n"/>
      <x:c r="G8" s="6" t="n"/>
      <x:c r="H8" s="6" t="n"/>
      <x:c r="I8" s="6" t="n"/>
      <x:c r="J8" s="6" t="n"/>
      <x:c r="K8" s="6" t="n"/>
      <x:c r="L8" s="6" t="n"/>
      <x:c r="M8" s="6" t="n"/>
      <x:c r="N8" s="6" t="n"/>
      <x:c r="O8" s="6" t="inlineStr">
        <x:is>
          <x:t xml:space="preserve">FALSE</x:t>
        </x:is>
      </x:c>
    </x:row>
    <x:row r="9">
      <x:c r="A9" s="11" t="n">
        <x:v>46219</x:v>
      </x:c>
      <x:c r="B9" s="4" t="inlineStr">
        <x:is>
          <x:t xml:space="preserve">Thu</x:t>
        </x:is>
      </x:c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inlineStr">
        <x:is>
          <x:t xml:space="preserve">FALSE</x:t>
        </x:is>
      </x:c>
    </x:row>
    <x:row r="10">
      <x:c r="A10" s="12" t="n">
        <x:v>46220</x:v>
      </x:c>
      <x:c r="B10" s="6" t="inlineStr">
        <x:is>
          <x:t xml:space="preserve">Fri</x:t>
        </x:is>
      </x:c>
      <x:c r="C10" s="6" t="n"/>
      <x:c r="D10" s="6" t="n"/>
      <x:c r="E10" s="6" t="n"/>
      <x:c r="F10" s="6" t="n"/>
      <x:c r="G10" s="6" t="n"/>
      <x:c r="H10" s="6" t="n"/>
      <x:c r="I10" s="6" t="n"/>
      <x:c r="J10" s="6" t="n"/>
      <x:c r="K10" s="6" t="n"/>
      <x:c r="L10" s="6" t="n"/>
      <x:c r="M10" s="6" t="n"/>
      <x:c r="N10" s="6" t="n"/>
      <x:c r="O10" s="6" t="inlineStr">
        <x:is>
          <x:t xml:space="preserve">FALSE</x:t>
        </x:is>
      </x:c>
    </x:row>
    <x:row r="11">
      <x:c r="A11" s="11" t="n">
        <x:v>46221</x:v>
      </x:c>
      <x:c r="B11" s="4" t="inlineStr">
        <x:is>
          <x:t xml:space="preserve">Sat</x:t>
        </x:is>
      </x:c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inlineStr">
        <x:is>
          <x:t xml:space="preserve">FALSE</x:t>
        </x:is>
      </x:c>
    </x:row>
    <x:row r="12">
      <x:c r="A12" s="12" t="n">
        <x:v>46222</x:v>
      </x:c>
      <x:c r="B12" s="6" t="inlineStr">
        <x:is>
          <x:t xml:space="preserve">Sun</x:t>
        </x:is>
      </x:c>
      <x:c r="C12" s="6" t="n"/>
      <x:c r="D12" s="6" t="n"/>
      <x:c r="E12" s="6" t="n"/>
      <x:c r="F12" s="6" t="n"/>
      <x:c r="G12" s="6" t="n"/>
      <x:c r="H12" s="6" t="n"/>
      <x:c r="I12" s="6" t="n"/>
      <x:c r="J12" s="6" t="n"/>
      <x:c r="K12" s="6" t="n"/>
      <x:c r="L12" s="6" t="n"/>
      <x:c r="M12" s="6" t="n"/>
      <x:c r="N12" s="6" t="n"/>
      <x:c r="O12" s="6" t="inlineStr">
        <x:is>
          <x:t xml:space="preserve">FALSE</x:t>
        </x:is>
      </x:c>
    </x:row>
    <x:row r="13">
      <x:c r="A13" s="11" t="n">
        <x:v>46223</x:v>
      </x:c>
      <x:c r="B13" s="4" t="inlineStr">
        <x:is>
          <x:t xml:space="preserve">Mon</x:t>
        </x:is>
      </x:c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inlineStr">
        <x:is>
          <x:t xml:space="preserve">FALSE</x:t>
        </x:is>
      </x:c>
    </x:row>
    <x:row r="14">
      <x:c r="A14" s="12" t="n">
        <x:v>46224</x:v>
      </x:c>
      <x:c r="B14" s="6" t="inlineStr">
        <x:is>
          <x:t xml:space="preserve">Tue</x:t>
        </x:is>
      </x:c>
      <x:c r="C14" s="6" t="n"/>
      <x:c r="D14" s="6" t="n"/>
      <x:c r="E14" s="6" t="n"/>
      <x:c r="F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inlineStr">
        <x:is>
          <x:t xml:space="preserve">FALSE</x:t>
        </x:is>
      </x:c>
    </x:row>
    <x:row r="15">
      <x:c r="A15" s="11" t="n">
        <x:v>46225</x:v>
      </x:c>
      <x:c r="B15" s="4" t="inlineStr">
        <x:is>
          <x:t xml:space="preserve">Wed</x:t>
        </x:is>
      </x:c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inlineStr">
        <x:is>
          <x:t xml:space="preserve">FALSE</x:t>
        </x:is>
      </x:c>
    </x:row>
    <x:row r="16">
      <x:c r="A16" s="12" t="n">
        <x:v>46226</x:v>
      </x:c>
      <x:c r="B16" s="6" t="inlineStr">
        <x:is>
          <x:t xml:space="preserve">Thu</x:t>
        </x:is>
      </x:c>
      <x:c r="C16" s="6" t="n"/>
      <x:c r="D16" s="6" t="n"/>
      <x:c r="E16" s="6" t="n"/>
      <x:c r="F16" s="6" t="n"/>
      <x:c r="G16" s="6" t="n"/>
      <x:c r="H16" s="6" t="n"/>
      <x:c r="I16" s="6" t="n"/>
      <x:c r="J16" s="6" t="n"/>
      <x:c r="K16" s="6" t="n"/>
      <x:c r="L16" s="6" t="n"/>
      <x:c r="M16" s="6" t="n"/>
      <x:c r="N16" s="6" t="n"/>
      <x:c r="O16" s="6" t="inlineStr">
        <x:is>
          <x:t xml:space="preserve">FALSE</x:t>
        </x:is>
      </x:c>
    </x:row>
    <x:row r="17">
      <x:c r="A17" s="11" t="n">
        <x:v>46227</x:v>
      </x:c>
      <x:c r="B17" s="4" t="inlineStr">
        <x:is>
          <x:t xml:space="preserve">Fri</x:t>
        </x:is>
      </x:c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inlineStr">
        <x:is>
          <x:t xml:space="preserve">FALSE</x:t>
        </x:is>
      </x:c>
    </x:row>
    <x:row r="18">
      <x:c r="A18" s="12" t="n">
        <x:v>46228</x:v>
      </x:c>
      <x:c r="B18" s="6" t="inlineStr">
        <x:is>
          <x:t xml:space="preserve">Sat</x:t>
        </x:is>
      </x:c>
      <x:c r="C18" s="6" t="n"/>
      <x:c r="D18" s="6" t="n"/>
      <x:c r="E18" s="6" t="n"/>
      <x:c r="F18" s="6" t="n"/>
      <x:c r="G18" s="6" t="n"/>
      <x:c r="H18" s="6" t="n"/>
      <x:c r="I18" s="6" t="n"/>
      <x:c r="J18" s="6" t="n"/>
      <x:c r="K18" s="6" t="n"/>
      <x:c r="L18" s="6" t="n"/>
      <x:c r="M18" s="6" t="n"/>
      <x:c r="N18" s="6" t="n"/>
      <x:c r="O18" s="6" t="inlineStr">
        <x:is>
          <x:t xml:space="preserve">FALSE</x:t>
        </x:is>
      </x:c>
    </x:row>
    <x:row r="19">
      <x:c r="A19" s="11" t="n">
        <x:v>46229</x:v>
      </x:c>
      <x:c r="B19" s="4" t="inlineStr">
        <x:is>
          <x:t xml:space="preserve">Sun</x:t>
        </x:is>
      </x:c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inlineStr">
        <x:is>
          <x:t xml:space="preserve">FALSE</x:t>
        </x:is>
      </x:c>
    </x:row>
    <x:row r="20">
      <x:c r="A20" s="12" t="n">
        <x:v>46230</x:v>
      </x:c>
      <x:c r="B20" s="6" t="inlineStr">
        <x:is>
          <x:t xml:space="preserve">Mon</x:t>
        </x:is>
      </x:c>
      <x:c r="C20" s="6" t="n"/>
      <x:c r="D20" s="6" t="n"/>
      <x:c r="E20" s="6" t="n"/>
      <x:c r="F20" s="6" t="n"/>
      <x:c r="G20" s="6" t="n"/>
      <x:c r="H20" s="6" t="n"/>
      <x:c r="I20" s="6" t="n"/>
      <x:c r="J20" s="6" t="n"/>
      <x:c r="K20" s="6" t="n"/>
      <x:c r="L20" s="6" t="n"/>
      <x:c r="M20" s="6" t="n"/>
      <x:c r="N20" s="6" t="n"/>
      <x:c r="O20" s="6" t="inlineStr">
        <x:is>
          <x:t xml:space="preserve">FALSE</x:t>
        </x:is>
      </x:c>
    </x:row>
    <x:row r="21">
      <x:c r="A21" s="11" t="n">
        <x:v>46231</x:v>
      </x:c>
      <x:c r="B21" s="4" t="inlineStr">
        <x:is>
          <x:t xml:space="preserve">Tue</x:t>
        </x:is>
      </x:c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inlineStr">
        <x:is>
          <x:t xml:space="preserve">FALSE</x:t>
        </x:is>
      </x:c>
    </x:row>
    <x:row r="22">
      <x:c r="A22" s="12" t="n">
        <x:v>46232</x:v>
      </x:c>
      <x:c r="B22" s="6" t="inlineStr">
        <x:is>
          <x:t xml:space="preserve">Wed</x:t>
        </x:is>
      </x:c>
      <x:c r="C22" s="6" t="n"/>
      <x:c r="D22" s="6" t="n"/>
      <x:c r="E22" s="6" t="n"/>
      <x:c r="F22" s="6" t="n"/>
      <x:c r="G22" s="6" t="n"/>
      <x:c r="H22" s="6" t="n"/>
      <x:c r="I22" s="6" t="n"/>
      <x:c r="J22" s="6" t="n"/>
      <x:c r="K22" s="6" t="n"/>
      <x:c r="L22" s="6" t="n"/>
      <x:c r="M22" s="6" t="n"/>
      <x:c r="N22" s="6" t="n"/>
      <x:c r="O22" s="6" t="inlineStr">
        <x:is>
          <x:t xml:space="preserve">FALSE</x:t>
        </x:is>
      </x:c>
    </x:row>
    <x:row r="23">
      <x:c r="A23" s="11" t="n">
        <x:v>46233</x:v>
      </x:c>
      <x:c r="B23" s="4" t="inlineStr">
        <x:is>
          <x:t xml:space="preserve">Thu</x:t>
        </x:is>
      </x:c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inlineStr">
        <x:is>
          <x:t xml:space="preserve">FALSE</x:t>
        </x:is>
      </x:c>
    </x:row>
    <x:row r="24">
      <x:c r="A24" s="12" t="n">
        <x:v>46234</x:v>
      </x:c>
      <x:c r="B24" s="6" t="inlineStr">
        <x:is>
          <x:t xml:space="preserve">Fri</x:t>
        </x:is>
      </x:c>
      <x:c r="C24" s="6" t="n"/>
      <x:c r="D24" s="6" t="n"/>
      <x:c r="E24" s="6" t="n"/>
      <x:c r="F24" s="6" t="n"/>
      <x:c r="G24" s="6" t="n"/>
      <x:c r="H24" s="6" t="n"/>
      <x:c r="I24" s="6" t="n"/>
      <x:c r="J24" s="6" t="n"/>
      <x:c r="K24" s="6" t="n"/>
      <x:c r="L24" s="6" t="n"/>
      <x:c r="M24" s="6" t="n"/>
      <x:c r="N24" s="6" t="n"/>
      <x:c r="O24" s="6" t="inlineStr">
        <x:is>
          <x:t xml:space="preserve">FALSE</x:t>
        </x:is>
      </x:c>
    </x:row>
  </x:sheetData>
  <x:mergeCells>
    <x:mergeCell ref="A1:O1"/>
    <x:mergeCell ref="A2:O2"/>
  </x:mergeCells>
  <x:dataValidations count="1">
    <x:dataValidation type="list" allowBlank="1" showDropDown="0" showInputMessage="0" showErrorMessage="0" sqref="O5:O2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20" customWidth="1"/>
    <x:col min="3" max="3" width="24" customWidth="1"/>
    <x:col min="4" max="4" width="22" customWidth="1"/>
    <x:col min="5" max="5" width="28" customWidth="1"/>
    <x:col min="6" max="6" width="22" customWidth="1"/>
    <x:col min="7" max="7" width="38" customWidth="1"/>
    <x:col min="8" max="8" width="56" customWidth="1"/>
    <x:col min="9" max="9" width="22" customWidth="1"/>
    <x:col min="10" max="10" width="22" customWidth="1"/>
    <x:col min="11" max="11" width="18" customWidth="1"/>
    <x:col min="12" max="12" width="12" customWidth="1"/>
    <x:col min="13" max="13" width="12" customWidth="1"/>
    <x:col min="14" max="14" width="15" customWidth="1"/>
    <x:col min="15" max="15" width="32" customWidth="1"/>
    <x:col min="16" max="16" width="16" customWidth="1"/>
    <x:col min="17" max="17" width="16" customWidth="1"/>
    <x:col min="18" max="18" width="36" customWidth="1"/>
  </x:cols>
  <x:sheetData>
    <x:row r="1" ht="28" customHeight="1">
      <x:c r="A1" s="1" t="inlineStr">
        <x:is>
          <x:t xml:space="preserve">Pipeline Tracker</x:t>
        </x:is>
      </x:c>
    </x:row>
    <x:row r="2" ht="22" customHeight="1">
      <x:c r="A2" s="2" t="inlineStr">
        <x:is>
          <x:t xml:space="preserve">Do not count outreach as progress until it creates replies, calls, proposals, cash, or useful market feedback.</x:t>
        </x:is>
      </x:c>
    </x:row>
    <x:row r="4">
      <x:c r="A4" s="3" t="inlineStr">
        <x:is>
          <x:t xml:space="preserve">Date Added</x:t>
        </x:is>
      </x:c>
      <x:c r="B4" s="3" t="inlineStr">
        <x:is>
          <x:t xml:space="preserve">Track</x:t>
        </x:is>
      </x:c>
      <x:c r="C4" s="3" t="inlineStr">
        <x:is>
          <x:t xml:space="preserve">Segment</x:t>
        </x:is>
      </x:c>
      <x:c r="D4" s="3" t="inlineStr">
        <x:is>
          <x:t xml:space="preserve">Market</x:t>
        </x:is>
      </x:c>
      <x:c r="E4" s="3" t="inlineStr">
        <x:is>
          <x:t xml:space="preserve">Prospect</x:t>
        </x:is>
      </x:c>
      <x:c r="F4" s="3" t="inlineStr">
        <x:is>
          <x:t xml:space="preserve">Contact</x:t>
        </x:is>
      </x:c>
      <x:c r="G4" s="3" t="inlineStr">
        <x:is>
          <x:t xml:space="preserve">URL / LinkedIn</x:t>
        </x:is>
      </x:c>
      <x:c r="H4" s="3" t="inlineStr">
        <x:is>
          <x:t xml:space="preserve">Pain Clue</x:t>
        </x:is>
      </x:c>
      <x:c r="I4" s="3" t="inlineStr">
        <x:is>
          <x:t xml:space="preserve">Current Tools</x:t>
        </x:is>
      </x:c>
      <x:c r="J4" s="3" t="inlineStr">
        <x:is>
          <x:t xml:space="preserve">Offer</x:t>
        </x:is>
      </x:c>
      <x:c r="K4" s="3" t="inlineStr">
        <x:is>
          <x:t xml:space="preserve">Stage</x:t>
        </x:is>
      </x:c>
      <x:c r="L4" s="3" t="inlineStr">
        <x:is>
          <x:t xml:space="preserve">Amount</x:t>
        </x:is>
      </x:c>
      <x:c r="M4" s="3" t="inlineStr">
        <x:is>
          <x:t xml:space="preserve">Probability</x:t>
        </x:is>
      </x:c>
      <x:c r="N4" s="3" t="inlineStr">
        <x:is>
          <x:t xml:space="preserve">Weighted Value</x:t>
        </x:is>
      </x:c>
      <x:c r="O4" s="3" t="inlineStr">
        <x:is>
          <x:t xml:space="preserve">Next Action</x:t>
        </x:is>
      </x:c>
      <x:c r="P4" s="3" t="inlineStr">
        <x:is>
          <x:t xml:space="preserve">Next Action Date</x:t>
        </x:is>
      </x:c>
      <x:c r="Q4" s="3" t="inlineStr">
        <x:is>
          <x:t xml:space="preserve">Last Touch</x:t>
        </x:is>
      </x:c>
      <x:c r="R4" s="3" t="inlineStr">
        <x:is>
          <x:t xml:space="preserve">Notes</x:t>
        </x:is>
      </x:c>
    </x:row>
    <x:row r="5">
      <x:c r="A5" s="11" t="n">
        <x:v>46215</x:v>
      </x:c>
      <x:c r="B5" s="4" t="inlineStr">
        <x:is>
          <x:t xml:space="preserve">Warm Network</x:t>
        </x:is>
      </x:c>
      <x:c r="C5" s="4" t="inlineStr">
        <x:is>
          <x:t xml:space="preserve">Founder/operator contact</x:t>
        </x:is>
      </x:c>
      <x:c r="D5" s="4" t="inlineStr">
        <x:is>
          <x:t xml:space="preserve">Your network</x:t>
        </x:is>
      </x:c>
      <x:c r="E5" s="4" t="inlineStr">
        <x:is>
          <x:t xml:space="preserve">Warm Contact 1</x:t>
        </x:is>
      </x:c>
      <x:c r="F5" s="4" t="inlineStr">
        <x:is>
          <x:t xml:space="preserve"/>
        </x:is>
      </x:c>
      <x:c r="G5" s="4" t="inlineStr">
        <x:is>
          <x:t xml:space="preserve"/>
        </x:is>
      </x:c>
      <x:c r="H5" s="4" t="inlineStr">
        <x:is>
          <x:t xml:space="preserve">Knows your work or can intro you to founders/operators.</x:t>
        </x:is>
      </x:c>
      <x:c r="I5" s="4" t="inlineStr">
        <x:is>
          <x:t xml:space="preserve"/>
        </x:is>
      </x:c>
      <x:c r="J5" s="4" t="inlineStr">
        <x:is>
          <x:t xml:space="preserve">Referral Ask</x:t>
        </x:is>
      </x:c>
      <x:c r="K5" s="4" t="inlineStr">
        <x:is>
          <x:t xml:space="preserve">Not Contacted</x:t>
        </x:is>
      </x:c>
      <x:c r="L5" s="4" t="n">
        <x:v>0</x:v>
      </x:c>
      <x:c r="M5" s="4" t="n">
        <x:v>0.2</x:v>
      </x:c>
      <x:c r="N5" s="4" t="n">
        <x:f>L5*M5</x:f>
        <x:v>0</x:v>
      </x:c>
      <x:c r="O5" s="4" t="inlineStr">
        <x:is>
          <x:t xml:space="preserve">Replace with actual name and send direct ask.</x:t>
        </x:is>
      </x:c>
      <x:c r="P5" s="11" t="n">
        <x:v>46215</x:v>
      </x:c>
      <x:c r="Q5" s="4" t="inlineStr">
        <x:is>
          <x:t xml:space="preserve"/>
        </x:is>
      </x:c>
      <x:c r="R5" s="4" t="inlineStr">
        <x:is>
          <x:t xml:space="preserve">Starter seed. Verify contact before sending.</x:t>
        </x:is>
      </x:c>
    </x:row>
    <x:row r="6">
      <x:c r="A6" s="12" t="n">
        <x:v>46215</x:v>
      </x:c>
      <x:c r="B6" s="6" t="inlineStr">
        <x:is>
          <x:t xml:space="preserve">Warm Network</x:t>
        </x:is>
      </x:c>
      <x:c r="C6" s="6" t="inlineStr">
        <x:is>
          <x:t xml:space="preserve">Former colleague/client</x:t>
        </x:is>
      </x:c>
      <x:c r="D6" s="6" t="inlineStr">
        <x:is>
          <x:t xml:space="preserve">Your network</x:t>
        </x:is>
      </x:c>
      <x:c r="E6" s="6" t="inlineStr">
        <x:is>
          <x:t xml:space="preserve">Warm Contact 2</x:t>
        </x:is>
      </x:c>
      <x:c r="F6" s="6" t="inlineStr">
        <x:is>
          <x:t xml:space="preserve"/>
        </x:is>
      </x:c>
      <x:c r="G6" s="6" t="inlineStr">
        <x:is>
          <x:t xml:space="preserve"/>
        </x:is>
      </x:c>
      <x:c r="H6" s="6" t="inlineStr">
        <x:is>
          <x:t xml:space="preserve">Has seen your technical ability or execution.</x:t>
        </x:is>
      </x:c>
      <x:c r="I6" s="6" t="inlineStr">
        <x:is>
          <x:t xml:space="preserve"/>
        </x:is>
      </x:c>
      <x:c r="J6" s="6" t="inlineStr">
        <x:is>
          <x:t xml:space="preserve">Referral Ask</x:t>
        </x:is>
      </x:c>
      <x:c r="K6" s="6" t="inlineStr">
        <x:is>
          <x:t xml:space="preserve">Not Contacted</x:t>
        </x:is>
      </x:c>
      <x:c r="L6" s="6" t="n">
        <x:v>0</x:v>
      </x:c>
      <x:c r="M6" s="6" t="n">
        <x:v>0.2</x:v>
      </x:c>
      <x:c r="N6" s="6" t="n">
        <x:f>L6*M6</x:f>
        <x:v>0</x:v>
      </x:c>
      <x:c r="O6" s="6" t="inlineStr">
        <x:is>
          <x:t xml:space="preserve">Replace with actual name and send direct ask.</x:t>
        </x:is>
      </x:c>
      <x:c r="P6" s="12" t="n">
        <x:v>46215</x:v>
      </x:c>
      <x:c r="Q6" s="6" t="inlineStr">
        <x:is>
          <x:t xml:space="preserve"/>
        </x:is>
      </x:c>
      <x:c r="R6" s="6" t="inlineStr">
        <x:is>
          <x:t xml:space="preserve">Starter seed. Verify contact before sending.</x:t>
        </x:is>
      </x:c>
    </x:row>
    <x:row r="7">
      <x:c r="A7" s="11" t="n">
        <x:v>46215</x:v>
      </x:c>
      <x:c r="B7" s="4" t="inlineStr">
        <x:is>
          <x:t xml:space="preserve">Warm Network</x:t>
        </x:is>
      </x:c>
      <x:c r="C7" s="4" t="inlineStr">
        <x:is>
          <x:t xml:space="preserve">Founder friend</x:t>
        </x:is>
      </x:c>
      <x:c r="D7" s="4" t="inlineStr">
        <x:is>
          <x:t xml:space="preserve">Your network</x:t>
        </x:is>
      </x:c>
      <x:c r="E7" s="4" t="inlineStr">
        <x:is>
          <x:t xml:space="preserve">Warm Contact 3</x:t>
        </x:is>
      </x:c>
      <x:c r="F7" s="4" t="inlineStr">
        <x:is>
          <x:t xml:space="preserve"/>
        </x:is>
      </x:c>
      <x:c r="G7" s="4" t="inlineStr">
        <x:is>
          <x:t xml:space="preserve"/>
        </x:is>
      </x:c>
      <x:c r="H7" s="4" t="inlineStr">
        <x:is>
          <x:t xml:space="preserve">Can name one founder/operator with manual workflow pain.</x:t>
        </x:is>
      </x:c>
      <x:c r="I7" s="4" t="inlineStr">
        <x:is>
          <x:t xml:space="preserve"/>
        </x:is>
      </x:c>
      <x:c r="J7" s="4" t="inlineStr">
        <x:is>
          <x:t xml:space="preserve">Referral Ask</x:t>
        </x:is>
      </x:c>
      <x:c r="K7" s="4" t="inlineStr">
        <x:is>
          <x:t xml:space="preserve">Not Contacted</x:t>
        </x:is>
      </x:c>
      <x:c r="L7" s="4" t="n">
        <x:v>0</x:v>
      </x:c>
      <x:c r="M7" s="4" t="n">
        <x:v>0.2</x:v>
      </x:c>
      <x:c r="N7" s="4" t="n">
        <x:f>L7*M7</x:f>
        <x:v>0</x:v>
      </x:c>
      <x:c r="O7" s="4" t="inlineStr">
        <x:is>
          <x:t xml:space="preserve">Replace with actual name and send direct ask.</x:t>
        </x:is>
      </x:c>
      <x:c r="P7" s="11" t="n">
        <x:v>46215</x:v>
      </x:c>
      <x:c r="Q7" s="4" t="inlineStr">
        <x:is>
          <x:t xml:space="preserve"/>
        </x:is>
      </x:c>
      <x:c r="R7" s="4" t="inlineStr">
        <x:is>
          <x:t xml:space="preserve">Starter seed. Verify contact before sending.</x:t>
        </x:is>
      </x:c>
    </x:row>
    <x:row r="8">
      <x:c r="A8" s="12" t="n">
        <x:v>46215</x:v>
      </x:c>
      <x:c r="B8" s="6" t="inlineStr">
        <x:is>
          <x:t xml:space="preserve">Warm Network</x:t>
        </x:is>
      </x:c>
      <x:c r="C8" s="6" t="inlineStr">
        <x:is>
          <x:t xml:space="preserve">SwimBuddz member/contact</x:t>
        </x:is>
      </x:c>
      <x:c r="D8" s="6" t="inlineStr">
        <x:is>
          <x:t xml:space="preserve">Your network</x:t>
        </x:is>
      </x:c>
      <x:c r="E8" s="6" t="inlineStr">
        <x:is>
          <x:t xml:space="preserve">Warm Contact 4</x:t>
        </x:is>
      </x:c>
      <x:c r="F8" s="6" t="inlineStr">
        <x:is>
          <x:t xml:space="preserve"/>
        </x:is>
      </x:c>
      <x:c r="G8" s="6" t="inlineStr">
        <x:is>
          <x:t xml:space="preserve"/>
        </x:is>
      </x:c>
      <x:c r="H8" s="6" t="inlineStr">
        <x:is>
          <x:t xml:space="preserve">Trust path through SwimBuddz/community.</x:t>
        </x:is>
      </x:c>
      <x:c r="I8" s="6" t="inlineStr">
        <x:is>
          <x:t xml:space="preserve"/>
        </x:is>
      </x:c>
      <x:c r="J8" s="6" t="inlineStr">
        <x:is>
          <x:t xml:space="preserve">Referral Ask</x:t>
        </x:is>
      </x:c>
      <x:c r="K8" s="6" t="inlineStr">
        <x:is>
          <x:t xml:space="preserve">Not Contacted</x:t>
        </x:is>
      </x:c>
      <x:c r="L8" s="6" t="n">
        <x:v>0</x:v>
      </x:c>
      <x:c r="M8" s="6" t="n">
        <x:v>0.15</x:v>
      </x:c>
      <x:c r="N8" s="6" t="n">
        <x:f>L8*M8</x:f>
        <x:v>0</x:v>
      </x:c>
      <x:c r="O8" s="6" t="inlineStr">
        <x:is>
          <x:t xml:space="preserve">Replace with actual name and ask for intro.</x:t>
        </x:is>
      </x:c>
      <x:c r="P8" s="12" t="n">
        <x:v>46215</x:v>
      </x:c>
      <x:c r="Q8" s="6" t="inlineStr">
        <x:is>
          <x:t xml:space="preserve"/>
        </x:is>
      </x:c>
      <x:c r="R8" s="6" t="inlineStr">
        <x:is>
          <x:t xml:space="preserve">Starter seed. Verify contact before sending.</x:t>
        </x:is>
      </x:c>
    </x:row>
    <x:row r="9">
      <x:c r="A9" s="11" t="n">
        <x:v>46215</x:v>
      </x:c>
      <x:c r="B9" s="4" t="inlineStr">
        <x:is>
          <x:t xml:space="preserve">Warm Network</x:t>
        </x:is>
      </x:c>
      <x:c r="C9" s="4" t="inlineStr">
        <x:is>
          <x:t xml:space="preserve">Open-source/tech contact</x:t>
        </x:is>
      </x:c>
      <x:c r="D9" s="4" t="inlineStr">
        <x:is>
          <x:t xml:space="preserve">Your network</x:t>
        </x:is>
      </x:c>
      <x:c r="E9" s="4" t="inlineStr">
        <x:is>
          <x:t xml:space="preserve">Warm Contact 5</x:t>
        </x:is>
      </x:c>
      <x:c r="F9" s="4" t="inlineStr">
        <x:is>
          <x:t xml:space="preserve"/>
        </x:is>
      </x:c>
      <x:c r="G9" s="4" t="inlineStr">
        <x:is>
          <x:t xml:space="preserve"/>
        </x:is>
      </x:c>
      <x:c r="H9" s="4" t="inlineStr">
        <x:is>
          <x:t xml:space="preserve">Can refer agency/founder/operator contacts.</x:t>
        </x:is>
      </x:c>
      <x:c r="I9" s="4" t="inlineStr">
        <x:is>
          <x:t xml:space="preserve"/>
        </x:is>
      </x:c>
      <x:c r="J9" s="4" t="inlineStr">
        <x:is>
          <x:t xml:space="preserve">Referral Ask</x:t>
        </x:is>
      </x:c>
      <x:c r="K9" s="4" t="inlineStr">
        <x:is>
          <x:t xml:space="preserve">Not Contacted</x:t>
        </x:is>
      </x:c>
      <x:c r="L9" s="4" t="n">
        <x:v>0</x:v>
      </x:c>
      <x:c r="M9" s="4" t="n">
        <x:v>0.15</x:v>
      </x:c>
      <x:c r="N9" s="4" t="n">
        <x:f>L9*M9</x:f>
        <x:v>0</x:v>
      </x:c>
      <x:c r="O9" s="4" t="inlineStr">
        <x:is>
          <x:t xml:space="preserve">Replace with actual name and ask for intro.</x:t>
        </x:is>
      </x:c>
      <x:c r="P9" s="11" t="n">
        <x:v>46215</x:v>
      </x:c>
      <x:c r="Q9" s="4" t="inlineStr">
        <x:is>
          <x:t xml:space="preserve"/>
        </x:is>
      </x:c>
      <x:c r="R9" s="4" t="inlineStr">
        <x:is>
          <x:t xml:space="preserve">Starter seed. Verify contact before sending.</x:t>
        </x:is>
      </x:c>
    </x:row>
    <x:row r="10">
      <x:c r="A10" s="12" t="n">
        <x:v>46215</x:v>
      </x:c>
      <x:c r="B10" s="6" t="inlineStr">
        <x:is>
          <x:t xml:space="preserve">Warm Network</x:t>
        </x:is>
      </x:c>
      <x:c r="C10" s="6" t="inlineStr">
        <x:is>
          <x:t xml:space="preserve">Previous school/Unilag contact</x:t>
        </x:is>
      </x:c>
      <x:c r="D10" s="6" t="inlineStr">
        <x:is>
          <x:t xml:space="preserve">Your network</x:t>
        </x:is>
      </x:c>
      <x:c r="E10" s="6" t="inlineStr">
        <x:is>
          <x:t xml:space="preserve">Warm Contact 6</x:t>
        </x:is>
      </x:c>
      <x:c r="F10" s="6" t="inlineStr">
        <x:is>
          <x:t xml:space="preserve"/>
        </x:is>
      </x:c>
      <x:c r="G10" s="6" t="inlineStr">
        <x:is>
          <x:t xml:space="preserve"/>
        </x:is>
      </x:c>
      <x:c r="H10" s="6" t="inlineStr">
        <x:is>
          <x:t xml:space="preserve">AI/ML credibility path.</x:t>
        </x:is>
      </x:c>
      <x:c r="I10" s="6" t="n"/>
      <x:c r="J10" s="6" t="inlineStr">
        <x:is>
          <x:t xml:space="preserve">Referral Ask</x:t>
        </x:is>
      </x:c>
      <x:c r="K10" s="6" t="inlineStr">
        <x:is>
          <x:t xml:space="preserve">Not Contacted</x:t>
        </x:is>
      </x:c>
      <x:c r="L10" s="6" t="n">
        <x:v>0</x:v>
      </x:c>
      <x:c r="M10" s="6" t="n">
        <x:v>0.15</x:v>
      </x:c>
      <x:c r="N10" s="6" t="n">
        <x:f>L10*M10</x:f>
        <x:v>0</x:v>
      </x:c>
      <x:c r="O10" s="6" t="inlineStr">
        <x:is>
          <x:t xml:space="preserve">Replace with actual name and ask for intro.</x:t>
        </x:is>
      </x:c>
      <x:c r="P10" s="12" t="n">
        <x:v>46215</x:v>
      </x:c>
      <x:c r="Q10" s="6" t="n"/>
      <x:c r="R10" s="6" t="inlineStr">
        <x:is>
          <x:t xml:space="preserve">Starter seed. Verify contact before sending.</x:t>
        </x:is>
      </x:c>
    </x:row>
    <x:row r="11">
      <x:c r="A11" s="11" t="n">
        <x:v>46215</x:v>
      </x:c>
      <x:c r="B11" s="4" t="inlineStr">
        <x:is>
          <x:t xml:space="preserve">Warm Network</x:t>
        </x:is>
      </x:c>
      <x:c r="C11" s="4" t="inlineStr">
        <x:is>
          <x:t xml:space="preserve">Rolf/expert path</x:t>
        </x:is>
      </x:c>
      <x:c r="D11" s="4" t="inlineStr">
        <x:is>
          <x:t xml:space="preserve">Your network</x:t>
        </x:is>
      </x:c>
      <x:c r="E11" s="4" t="inlineStr">
        <x:is>
          <x:t xml:space="preserve">Warm Contact 7</x:t>
        </x:is>
      </x:c>
      <x:c r="F11" s="4" t="inlineStr">
        <x:is>
          <x:t xml:space="preserve"/>
        </x:is>
      </x:c>
      <x:c r="G11" s="4" t="inlineStr">
        <x:is>
          <x:t xml:space="preserve"/>
        </x:is>
      </x:c>
      <x:c r="H11" s="4" t="inlineStr">
        <x:is>
          <x:t xml:space="preserve">Can advise or introduce higher-quality buyers.</x:t>
        </x:is>
      </x:c>
      <x:c r="I11" s="4" t="n"/>
      <x:c r="J11" s="4" t="inlineStr">
        <x:is>
          <x:t xml:space="preserve">Referral Ask</x:t>
        </x:is>
      </x:c>
      <x:c r="K11" s="4" t="inlineStr">
        <x:is>
          <x:t xml:space="preserve">Not Contacted</x:t>
        </x:is>
      </x:c>
      <x:c r="L11" s="4" t="n">
        <x:v>0</x:v>
      </x:c>
      <x:c r="M11" s="4" t="n">
        <x:v>0.15</x:v>
      </x:c>
      <x:c r="N11" s="4" t="n">
        <x:f>L11*M11</x:f>
        <x:v>0</x:v>
      </x:c>
      <x:c r="O11" s="4" t="inlineStr">
        <x:is>
          <x:t xml:space="preserve">Replace with actual name and ask for intro.</x:t>
        </x:is>
      </x:c>
      <x:c r="P11" s="11" t="n">
        <x:v>46215</x:v>
      </x:c>
      <x:c r="Q11" s="4" t="n"/>
      <x:c r="R11" s="4" t="inlineStr">
        <x:is>
          <x:t xml:space="preserve">Starter seed. Verify contact before sending.</x:t>
        </x:is>
      </x:c>
    </x:row>
    <x:row r="12">
      <x:c r="A12" s="12" t="n">
        <x:v>46215</x:v>
      </x:c>
      <x:c r="B12" s="6" t="inlineStr">
        <x:is>
          <x:t xml:space="preserve">Warm Network</x:t>
        </x:is>
      </x:c>
      <x:c r="C12" s="6" t="inlineStr">
        <x:is>
          <x:t xml:space="preserve">Community founder</x:t>
        </x:is>
      </x:c>
      <x:c r="D12" s="6" t="inlineStr">
        <x:is>
          <x:t xml:space="preserve">Your network</x:t>
        </x:is>
      </x:c>
      <x:c r="E12" s="6" t="inlineStr">
        <x:is>
          <x:t xml:space="preserve">Warm Contact 8</x:t>
        </x:is>
      </x:c>
      <x:c r="F12" s="6" t="inlineStr">
        <x:is>
          <x:t xml:space="preserve"/>
        </x:is>
      </x:c>
      <x:c r="G12" s="6" t="inlineStr">
        <x:is>
          <x:t xml:space="preserve"/>
        </x:is>
      </x:c>
      <x:c r="H12" s="6" t="inlineStr">
        <x:is>
          <x:t xml:space="preserve">Likely knows people running small operations.</x:t>
        </x:is>
      </x:c>
      <x:c r="I12" s="6" t="n"/>
      <x:c r="J12" s="6" t="inlineStr">
        <x:is>
          <x:t xml:space="preserve">Referral Ask</x:t>
        </x:is>
      </x:c>
      <x:c r="K12" s="6" t="inlineStr">
        <x:is>
          <x:t xml:space="preserve">Not Contacted</x:t>
        </x:is>
      </x:c>
      <x:c r="L12" s="6" t="n">
        <x:v>0</x:v>
      </x:c>
      <x:c r="M12" s="6" t="n">
        <x:v>0.15</x:v>
      </x:c>
      <x:c r="N12" s="6" t="n">
        <x:f>L12*M12</x:f>
        <x:v>0</x:v>
      </x:c>
      <x:c r="O12" s="6" t="inlineStr">
        <x:is>
          <x:t xml:space="preserve">Replace with actual name and ask for intro.</x:t>
        </x:is>
      </x:c>
      <x:c r="P12" s="12" t="n">
        <x:v>46215</x:v>
      </x:c>
      <x:c r="Q12" s="6" t="n"/>
      <x:c r="R12" s="6" t="inlineStr">
        <x:is>
          <x:t xml:space="preserve">Starter seed. Verify contact before sending.</x:t>
        </x:is>
      </x:c>
    </x:row>
    <x:row r="13">
      <x:c r="A13" s="11" t="n">
        <x:v>46215</x:v>
      </x:c>
      <x:c r="B13" s="4" t="inlineStr">
        <x:is>
          <x:t xml:space="preserve">Warm Network</x:t>
        </x:is>
      </x:c>
      <x:c r="C13" s="4" t="inlineStr">
        <x:is>
          <x:t xml:space="preserve">Past project stakeholder</x:t>
        </x:is>
      </x:c>
      <x:c r="D13" s="4" t="inlineStr">
        <x:is>
          <x:t xml:space="preserve">Your network</x:t>
        </x:is>
      </x:c>
      <x:c r="E13" s="4" t="inlineStr">
        <x:is>
          <x:t xml:space="preserve">Warm Contact 9</x:t>
        </x:is>
      </x:c>
      <x:c r="F13" s="4" t="inlineStr">
        <x:is>
          <x:t xml:space="preserve"/>
        </x:is>
      </x:c>
      <x:c r="G13" s="4" t="inlineStr">
        <x:is>
          <x:t xml:space="preserve"/>
        </x:is>
      </x:c>
      <x:c r="H13" s="4" t="inlineStr">
        <x:is>
          <x:t xml:space="preserve">Can validate backend/automation execution.</x:t>
        </x:is>
      </x:c>
      <x:c r="I13" s="4" t="n"/>
      <x:c r="J13" s="4" t="inlineStr">
        <x:is>
          <x:t xml:space="preserve">Referral Ask</x:t>
        </x:is>
      </x:c>
      <x:c r="K13" s="4" t="inlineStr">
        <x:is>
          <x:t xml:space="preserve">Not Contacted</x:t>
        </x:is>
      </x:c>
      <x:c r="L13" s="4" t="n">
        <x:v>0</x:v>
      </x:c>
      <x:c r="M13" s="4" t="n">
        <x:v>0.15</x:v>
      </x:c>
      <x:c r="N13" s="4" t="n">
        <x:f>L13*M13</x:f>
        <x:v>0</x:v>
      </x:c>
      <x:c r="O13" s="4" t="inlineStr">
        <x:is>
          <x:t xml:space="preserve">Replace with actual name and ask for intro.</x:t>
        </x:is>
      </x:c>
      <x:c r="P13" s="11" t="n">
        <x:v>46215</x:v>
      </x:c>
      <x:c r="Q13" s="4" t="n"/>
      <x:c r="R13" s="4" t="inlineStr">
        <x:is>
          <x:t xml:space="preserve">Starter seed. Verify contact before sending.</x:t>
        </x:is>
      </x:c>
    </x:row>
    <x:row r="14">
      <x:c r="A14" s="12" t="n">
        <x:v>46215</x:v>
      </x:c>
      <x:c r="B14" s="6" t="inlineStr">
        <x:is>
          <x:t xml:space="preserve">Warm Network</x:t>
        </x:is>
      </x:c>
      <x:c r="C14" s="6" t="inlineStr">
        <x:is>
          <x:t xml:space="preserve">Trusted friend with founder network</x:t>
        </x:is>
      </x:c>
      <x:c r="D14" s="6" t="inlineStr">
        <x:is>
          <x:t xml:space="preserve">Your network</x:t>
        </x:is>
      </x:c>
      <x:c r="E14" s="6" t="inlineStr">
        <x:is>
          <x:t xml:space="preserve">Warm Contact 10</x:t>
        </x:is>
      </x:c>
      <x:c r="F14" s="6" t="inlineStr">
        <x:is>
          <x:t xml:space="preserve"/>
        </x:is>
      </x:c>
      <x:c r="G14" s="6" t="inlineStr">
        <x:is>
          <x:t xml:space="preserve"/>
        </x:is>
      </x:c>
      <x:c r="H14" s="6" t="inlineStr">
        <x:is>
          <x:t xml:space="preserve">Can connect you quickly without cold trust problem.</x:t>
        </x:is>
      </x:c>
      <x:c r="I14" s="6" t="n"/>
      <x:c r="J14" s="6" t="inlineStr">
        <x:is>
          <x:t xml:space="preserve">Referral Ask</x:t>
        </x:is>
      </x:c>
      <x:c r="K14" s="6" t="inlineStr">
        <x:is>
          <x:t xml:space="preserve">Not Contacted</x:t>
        </x:is>
      </x:c>
      <x:c r="L14" s="6" t="n">
        <x:v>0</x:v>
      </x:c>
      <x:c r="M14" s="6" t="n">
        <x:v>0.15</x:v>
      </x:c>
      <x:c r="N14" s="6" t="n">
        <x:f>L14*M14</x:f>
        <x:v>0</x:v>
      </x:c>
      <x:c r="O14" s="6" t="inlineStr">
        <x:is>
          <x:t xml:space="preserve">Replace with actual name and ask for intro.</x:t>
        </x:is>
      </x:c>
      <x:c r="P14" s="12" t="n">
        <x:v>46215</x:v>
      </x:c>
      <x:c r="Q14" s="6" t="n"/>
      <x:c r="R14" s="6" t="inlineStr">
        <x:is>
          <x:t xml:space="preserve">Starter seed. Verify contact before sending.</x:t>
        </x:is>
      </x:c>
    </x:row>
    <x:row r="15">
      <x:c r="A15" s="11" t="n">
        <x:v>46215</x:v>
      </x:c>
      <x:c r="B15" s="4" t="inlineStr">
        <x:is>
          <x:t xml:space="preserve">Swim/Sports Niche</x:t>
        </x:is>
      </x:c>
      <x:c r="C15" s="4" t="inlineStr">
        <x:is>
          <x:t xml:space="preserve">Swim school</x:t>
        </x:is>
      </x:c>
      <x:c r="D15" s="4" t="inlineStr">
        <x:is>
          <x:t xml:space="preserve">US</x:t>
        </x:is>
      </x:c>
      <x:c r="E15" s="4" t="inlineStr">
        <x:is>
          <x:t xml:space="preserve">Goldfish Swim School</x:t>
        </x:is>
      </x:c>
      <x:c r="F15" s="4" t="inlineStr">
        <x:is>
          <x:t xml:space="preserve"/>
        </x:is>
      </x:c>
      <x:c r="G15" s="4" t="inlineStr">
        <x:is>
          <x:t xml:space="preserve">https://goldfishswimschool.com/</x:t>
        </x:is>
      </x:c>
      <x:c r="H15" s="4" t="inlineStr">
        <x:is>
          <x:t xml:space="preserve">Assessment, registration portal, class levels, multiple locations, make-up lessons.</x:t>
        </x:is>
      </x:c>
      <x:c r="I15" s="4" t="n"/>
      <x:c r="J15" s="4" t="inlineStr">
        <x:is>
          <x:t xml:space="preserve">Paid Audit</x:t>
        </x:is>
      </x:c>
      <x:c r="K15" s="4" t="inlineStr">
        <x:is>
          <x:t xml:space="preserve">Not Contacted</x:t>
        </x:is>
      </x:c>
      <x:c r="L15" s="4" t="n">
        <x:v>400</x:v>
      </x:c>
      <x:c r="M15" s="4" t="n">
        <x:v>0.1</x:v>
      </x:c>
      <x:c r="N15" s="4" t="n">
        <x:f>L15*M15</x:f>
        <x:v>40</x:v>
      </x:c>
      <x:c r="O15" s="4" t="inlineStr">
        <x:is>
          <x:t xml:space="preserve">Target a local franchise owner/operator, not only HQ.</x:t>
        </x:is>
      </x:c>
      <x:c r="P15" s="11" t="n">
        <x:v>46215</x:v>
      </x:c>
      <x:c r="Q15" s="4" t="n"/>
      <x:c r="R15" s="4" t="inlineStr">
        <x:is>
          <x:t xml:space="preserve">Starter seed. Verify contact before sending.</x:t>
        </x:is>
      </x:c>
    </x:row>
    <x:row r="16">
      <x:c r="A16" s="12" t="n">
        <x:v>46215</x:v>
      </x:c>
      <x:c r="B16" s="6" t="inlineStr">
        <x:is>
          <x:t xml:space="preserve">Swim/Sports Niche</x:t>
        </x:is>
      </x:c>
      <x:c r="C16" s="6" t="inlineStr">
        <x:is>
          <x:t xml:space="preserve">Swim school</x:t>
        </x:is>
      </x:c>
      <x:c r="D16" s="6" t="inlineStr">
        <x:is>
          <x:t xml:space="preserve">US</x:t>
        </x:is>
      </x:c>
      <x:c r="E16" s="6" t="inlineStr">
        <x:is>
          <x:t xml:space="preserve">British Swim School</x:t>
        </x:is>
      </x:c>
      <x:c r="F16" s="6" t="inlineStr">
        <x:is>
          <x:t xml:space="preserve"/>
        </x:is>
      </x:c>
      <x:c r="G16" s="6" t="inlineStr">
        <x:is>
          <x:t xml:space="preserve">https://britishswimschool.com/</x:t>
        </x:is>
      </x:c>
      <x:c r="H16" s="6" t="inlineStr">
        <x:is>
          <x:t xml:space="preserve">Location finder, swim assessment, programs for children/adults/adaptive aquatics.</x:t>
        </x:is>
      </x:c>
      <x:c r="I16" s="6" t="n"/>
      <x:c r="J16" s="6" t="inlineStr">
        <x:is>
          <x:t xml:space="preserve">Paid Audit</x:t>
        </x:is>
      </x:c>
      <x:c r="K16" s="6" t="inlineStr">
        <x:is>
          <x:t xml:space="preserve">Not Contacted</x:t>
        </x:is>
      </x:c>
      <x:c r="L16" s="6" t="n">
        <x:v>400</x:v>
      </x:c>
      <x:c r="M16" s="6" t="n">
        <x:v>0.1</x:v>
      </x:c>
      <x:c r="N16" s="6" t="n">
        <x:f>L16*M16</x:f>
        <x:v>40</x:v>
      </x:c>
      <x:c r="O16" s="6" t="inlineStr">
        <x:is>
          <x:t xml:space="preserve">Target a local owner/operator.</x:t>
        </x:is>
      </x:c>
      <x:c r="P16" s="12" t="n">
        <x:v>46215</x:v>
      </x:c>
      <x:c r="Q16" s="6" t="n"/>
      <x:c r="R16" s="6" t="inlineStr">
        <x:is>
          <x:t xml:space="preserve">Starter seed. Verify contact before sending.</x:t>
        </x:is>
      </x:c>
    </x:row>
    <x:row r="17">
      <x:c r="A17" s="11" t="n">
        <x:v>46215</x:v>
      </x:c>
      <x:c r="B17" s="4" t="inlineStr">
        <x:is>
          <x:t xml:space="preserve">Swim/Sports Niche</x:t>
        </x:is>
      </x:c>
      <x:c r="C17" s="4" t="inlineStr">
        <x:is>
          <x:t xml:space="preserve">Swim school</x:t>
        </x:is>
      </x:c>
      <x:c r="D17" s="4" t="inlineStr">
        <x:is>
          <x:t xml:space="preserve">US</x:t>
        </x:is>
      </x:c>
      <x:c r="E17" s="4" t="inlineStr">
        <x:is>
          <x:t xml:space="preserve">Aqua-Tots Swim Schools</x:t>
        </x:is>
      </x:c>
      <x:c r="F17" s="4" t="inlineStr">
        <x:is>
          <x:t xml:space="preserve"/>
        </x:is>
      </x:c>
      <x:c r="G17" s="4" t="inlineStr">
        <x:is>
          <x:t xml:space="preserve">https://www.aqua-tots.com/</x:t>
        </x:is>
      </x:c>
      <x:c r="H17" s="4" t="inlineStr">
        <x:is>
          <x:t xml:space="preserve">Enrollment, levels, franchise locations, likely parent follow-up workflow.</x:t>
        </x:is>
      </x:c>
      <x:c r="I17" s="4" t="n"/>
      <x:c r="J17" s="4" t="inlineStr">
        <x:is>
          <x:t xml:space="preserve">Paid Audit</x:t>
        </x:is>
      </x:c>
      <x:c r="K17" s="4" t="inlineStr">
        <x:is>
          <x:t xml:space="preserve">Not Contacted</x:t>
        </x:is>
      </x:c>
      <x:c r="L17" s="4" t="n">
        <x:v>400</x:v>
      </x:c>
      <x:c r="M17" s="4" t="n">
        <x:v>0.1</x:v>
      </x:c>
      <x:c r="N17" s="4" t="n">
        <x:f>L17*M17</x:f>
        <x:v>40</x:v>
      </x:c>
      <x:c r="O17" s="4" t="inlineStr">
        <x:is>
          <x:t xml:space="preserve">Target regional/franchise operator.</x:t>
        </x:is>
      </x:c>
      <x:c r="P17" s="11" t="n">
        <x:v>46215</x:v>
      </x:c>
      <x:c r="Q17" s="4" t="n"/>
      <x:c r="R17" s="4" t="inlineStr">
        <x:is>
          <x:t xml:space="preserve">Starter seed. Verify contact before sending.</x:t>
        </x:is>
      </x:c>
    </x:row>
    <x:row r="18">
      <x:c r="A18" s="12" t="n">
        <x:v>46215</x:v>
      </x:c>
      <x:c r="B18" s="6" t="inlineStr">
        <x:is>
          <x:t xml:space="preserve">Swim/Sports Niche</x:t>
        </x:is>
      </x:c>
      <x:c r="C18" s="6" t="inlineStr">
        <x:is>
          <x:t xml:space="preserve">Swim school</x:t>
        </x:is>
      </x:c>
      <x:c r="D18" s="6" t="inlineStr">
        <x:is>
          <x:t xml:space="preserve">US</x:t>
        </x:is>
      </x:c>
      <x:c r="E18" s="6" t="inlineStr">
        <x:is>
          <x:t xml:space="preserve">SafeSplash Swim School</x:t>
        </x:is>
      </x:c>
      <x:c r="F18" s="6" t="inlineStr">
        <x:is>
          <x:t xml:space="preserve"/>
        </x:is>
      </x:c>
      <x:c r="G18" s="6" t="inlineStr">
        <x:is>
          <x:t xml:space="preserve">https://www.safesplash.com/</x:t>
        </x:is>
      </x:c>
      <x:c r="H18" s="6" t="inlineStr">
        <x:is>
          <x:t xml:space="preserve">Kids/adult lessons, locations, booking/enrollment flow.</x:t>
        </x:is>
      </x:c>
      <x:c r="I18" s="6" t="n"/>
      <x:c r="J18" s="6" t="inlineStr">
        <x:is>
          <x:t xml:space="preserve">Paid Audit</x:t>
        </x:is>
      </x:c>
      <x:c r="K18" s="6" t="inlineStr">
        <x:is>
          <x:t xml:space="preserve">Not Contacted</x:t>
        </x:is>
      </x:c>
      <x:c r="L18" s="6" t="n">
        <x:v>400</x:v>
      </x:c>
      <x:c r="M18" s="6" t="n">
        <x:v>0.1</x:v>
      </x:c>
      <x:c r="N18" s="6" t="n">
        <x:f>L18*M18</x:f>
        <x:v>40</x:v>
      </x:c>
      <x:c r="O18" s="6" t="inlineStr">
        <x:is>
          <x:t xml:space="preserve">Target location-level operator.</x:t>
        </x:is>
      </x:c>
      <x:c r="P18" s="12" t="n">
        <x:v>46215</x:v>
      </x:c>
      <x:c r="Q18" s="6" t="n"/>
      <x:c r="R18" s="6" t="inlineStr">
        <x:is>
          <x:t xml:space="preserve">Starter seed. Verify contact before sending.</x:t>
        </x:is>
      </x:c>
    </x:row>
    <x:row r="19">
      <x:c r="A19" s="11" t="n">
        <x:v>46215</x:v>
      </x:c>
      <x:c r="B19" s="4" t="inlineStr">
        <x:is>
          <x:t xml:space="preserve">Swim/Sports Niche</x:t>
        </x:is>
      </x:c>
      <x:c r="C19" s="4" t="inlineStr">
        <x:is>
          <x:t xml:space="preserve">Swim school</x:t>
        </x:is>
      </x:c>
      <x:c r="D19" s="4" t="inlineStr">
        <x:is>
          <x:t xml:space="preserve">US</x:t>
        </x:is>
      </x:c>
      <x:c r="E19" s="4" t="inlineStr">
        <x:is>
          <x:t xml:space="preserve">Big Blue Swim School</x:t>
        </x:is>
      </x:c>
      <x:c r="F19" s="4" t="inlineStr">
        <x:is>
          <x:t xml:space="preserve"/>
        </x:is>
      </x:c>
      <x:c r="G19" s="4" t="inlineStr">
        <x:is>
          <x:t xml:space="preserve">https://bigblueswimschool.com/</x:t>
        </x:is>
      </x:c>
      <x:c r="H19" s="4" t="inlineStr">
        <x:is>
          <x:t xml:space="preserve">Class enrollment, parent-facing scheduling, multi-location operation.</x:t>
        </x:is>
      </x:c>
      <x:c r="I19" s="4" t="n"/>
      <x:c r="J19" s="4" t="inlineStr">
        <x:is>
          <x:t xml:space="preserve">Paid Audit</x:t>
        </x:is>
      </x:c>
      <x:c r="K19" s="4" t="inlineStr">
        <x:is>
          <x:t xml:space="preserve">Not Contacted</x:t>
        </x:is>
      </x:c>
      <x:c r="L19" s="4" t="n">
        <x:v>400</x:v>
      </x:c>
      <x:c r="M19" s="4" t="n">
        <x:v>0.08</x:v>
      </x:c>
      <x:c r="N19" s="4" t="n">
        <x:f>L19*M19</x:f>
        <x:v>32</x:v>
      </x:c>
      <x:c r="O19" s="4" t="inlineStr">
        <x:is>
          <x:t xml:space="preserve">Likely has mature systems; use as research or local franchise target.</x:t>
        </x:is>
      </x:c>
      <x:c r="P19" s="11" t="n">
        <x:v>46215</x:v>
      </x:c>
      <x:c r="Q19" s="4" t="n"/>
      <x:c r="R19" s="4" t="inlineStr">
        <x:is>
          <x:t xml:space="preserve">Starter seed. Verify contact before sending.</x:t>
        </x:is>
      </x:c>
    </x:row>
    <x:row r="20">
      <x:c r="A20" s="12" t="n">
        <x:v>46215</x:v>
      </x:c>
      <x:c r="B20" s="6" t="inlineStr">
        <x:is>
          <x:t xml:space="preserve">Swim/Sports Niche</x:t>
        </x:is>
      </x:c>
      <x:c r="C20" s="6" t="inlineStr">
        <x:is>
          <x:t xml:space="preserve">Swim school</x:t>
        </x:is>
      </x:c>
      <x:c r="D20" s="6" t="inlineStr">
        <x:is>
          <x:t xml:space="preserve">US</x:t>
        </x:is>
      </x:c>
      <x:c r="E20" s="6" t="inlineStr">
        <x:is>
          <x:t xml:space="preserve">Emler Swim School</x:t>
        </x:is>
      </x:c>
      <x:c r="F20" s="6" t="inlineStr">
        <x:is>
          <x:t xml:space="preserve"/>
        </x:is>
      </x:c>
      <x:c r="G20" s="6" t="inlineStr">
        <x:is>
          <x:t xml:space="preserve">https://emlerswimschool.com/</x:t>
        </x:is>
      </x:c>
      <x:c r="H20" s="6" t="inlineStr">
        <x:is>
          <x:t xml:space="preserve">Class levels, enrollment, parent/student progression.</x:t>
        </x:is>
      </x:c>
      <x:c r="I20" s="6" t="n"/>
      <x:c r="J20" s="6" t="inlineStr">
        <x:is>
          <x:t xml:space="preserve">Paid Audit</x:t>
        </x:is>
      </x:c>
      <x:c r="K20" s="6" t="inlineStr">
        <x:is>
          <x:t xml:space="preserve">Not Contacted</x:t>
        </x:is>
      </x:c>
      <x:c r="L20" s="6" t="n">
        <x:v>400</x:v>
      </x:c>
      <x:c r="M20" s="6" t="n">
        <x:v>0.08</x:v>
      </x:c>
      <x:c r="N20" s="6" t="n">
        <x:f>L20*M20</x:f>
        <x:v>32</x:v>
      </x:c>
      <x:c r="O20" s="6" t="inlineStr">
        <x:is>
          <x:t xml:space="preserve">Look for individual location decision maker.</x:t>
        </x:is>
      </x:c>
      <x:c r="P20" s="12" t="n">
        <x:v>46215</x:v>
      </x:c>
      <x:c r="Q20" s="6" t="n"/>
      <x:c r="R20" s="6" t="inlineStr">
        <x:is>
          <x:t xml:space="preserve">Starter seed. Verify contact before sending.</x:t>
        </x:is>
      </x:c>
    </x:row>
    <x:row r="21">
      <x:c r="A21" s="11" t="n">
        <x:v>46215</x:v>
      </x:c>
      <x:c r="B21" s="4" t="inlineStr">
        <x:is>
          <x:t xml:space="preserve">Swim/Sports Niche</x:t>
        </x:is>
      </x:c>
      <x:c r="C21" s="4" t="inlineStr">
        <x:is>
          <x:t xml:space="preserve">Swim school</x:t>
        </x:is>
      </x:c>
      <x:c r="D21" s="4" t="inlineStr">
        <x:is>
          <x:t xml:space="preserve">US</x:t>
        </x:is>
      </x:c>
      <x:c r="E21" s="4" t="inlineStr">
        <x:is>
          <x:t xml:space="preserve">Foss Swim School</x:t>
        </x:is>
      </x:c>
      <x:c r="F21" s="4" t="inlineStr">
        <x:is>
          <x:t xml:space="preserve"/>
        </x:is>
      </x:c>
      <x:c r="G21" s="4" t="inlineStr">
        <x:is>
          <x:t xml:space="preserve">https://www.fossswimschool.com/</x:t>
        </x:is>
      </x:c>
      <x:c r="H21" s="4" t="inlineStr">
        <x:is>
          <x:t xml:space="preserve">Enrollment, class levels, multi-location operations.</x:t>
        </x:is>
      </x:c>
      <x:c r="I21" s="4" t="n"/>
      <x:c r="J21" s="4" t="inlineStr">
        <x:is>
          <x:t xml:space="preserve">Paid Audit</x:t>
        </x:is>
      </x:c>
      <x:c r="K21" s="4" t="inlineStr">
        <x:is>
          <x:t xml:space="preserve">Not Contacted</x:t>
        </x:is>
      </x:c>
      <x:c r="L21" s="4" t="n">
        <x:v>400</x:v>
      </x:c>
      <x:c r="M21" s="4" t="n">
        <x:v>0.08</x:v>
      </x:c>
      <x:c r="N21" s="4" t="n">
        <x:f>L21*M21</x:f>
        <x:v>32</x:v>
      </x:c>
      <x:c r="O21" s="4" t="inlineStr">
        <x:is>
          <x:t xml:space="preserve">Research local operator before messaging.</x:t>
        </x:is>
      </x:c>
      <x:c r="P21" s="11" t="n">
        <x:v>46215</x:v>
      </x:c>
      <x:c r="Q21" s="4" t="n"/>
      <x:c r="R21" s="4" t="inlineStr">
        <x:is>
          <x:t xml:space="preserve">Starter seed. Verify contact before sending.</x:t>
        </x:is>
      </x:c>
    </x:row>
    <x:row r="22">
      <x:c r="A22" s="12" t="n">
        <x:v>46215</x:v>
      </x:c>
      <x:c r="B22" s="6" t="inlineStr">
        <x:is>
          <x:t xml:space="preserve">Swim/Sports Niche</x:t>
        </x:is>
      </x:c>
      <x:c r="C22" s="6" t="inlineStr">
        <x:is>
          <x:t xml:space="preserve">Swim school</x:t>
        </x:is>
      </x:c>
      <x:c r="D22" s="6" t="inlineStr">
        <x:is>
          <x:t xml:space="preserve">US</x:t>
        </x:is>
      </x:c>
      <x:c r="E22" s="6" t="inlineStr">
        <x:is>
          <x:t xml:space="preserve">Bear Paddle Swim School</x:t>
        </x:is>
      </x:c>
      <x:c r="F22" s="6" t="inlineStr">
        <x:is>
          <x:t xml:space="preserve"/>
        </x:is>
      </x:c>
      <x:c r="G22" s="6" t="inlineStr">
        <x:is>
          <x:t xml:space="preserve">https://bearpaddle.com/</x:t>
        </x:is>
      </x:c>
      <x:c r="H22" s="6" t="inlineStr">
        <x:is>
          <x:t xml:space="preserve">Lesson enrollment and progression flow.</x:t>
        </x:is>
      </x:c>
      <x:c r="I22" s="6" t="n"/>
      <x:c r="J22" s="6" t="inlineStr">
        <x:is>
          <x:t xml:space="preserve">Paid Audit</x:t>
        </x:is>
      </x:c>
      <x:c r="K22" s="6" t="inlineStr">
        <x:is>
          <x:t xml:space="preserve">Not Contacted</x:t>
        </x:is>
      </x:c>
      <x:c r="L22" s="6" t="n">
        <x:v>400</x:v>
      </x:c>
      <x:c r="M22" s="6" t="n">
        <x:v>0.08</x:v>
      </x:c>
      <x:c r="N22" s="6" t="n">
        <x:f>L22*M22</x:f>
        <x:v>32</x:v>
      </x:c>
      <x:c r="O22" s="6" t="inlineStr">
        <x:is>
          <x:t xml:space="preserve">Research local/franchise contact.</x:t>
        </x:is>
      </x:c>
      <x:c r="P22" s="12" t="n">
        <x:v>46215</x:v>
      </x:c>
      <x:c r="Q22" s="6" t="n"/>
      <x:c r="R22" s="6" t="inlineStr">
        <x:is>
          <x:t xml:space="preserve">Starter seed. Verify contact before sending.</x:t>
        </x:is>
      </x:c>
    </x:row>
    <x:row r="23">
      <x:c r="A23" s="11" t="n">
        <x:v>46215</x:v>
      </x:c>
      <x:c r="B23" s="4" t="inlineStr">
        <x:is>
          <x:t xml:space="preserve">Swim/Sports Niche</x:t>
        </x:is>
      </x:c>
      <x:c r="C23" s="4" t="inlineStr">
        <x:is>
          <x:t xml:space="preserve">Private swim lessons</x:t>
        </x:is>
      </x:c>
      <x:c r="D23" s="4" t="inlineStr">
        <x:is>
          <x:t xml:space="preserve">US/Canada</x:t>
        </x:is>
      </x:c>
      <x:c r="E23" s="4" t="inlineStr">
        <x:is>
          <x:t xml:space="preserve">Sunsational Swim School</x:t>
        </x:is>
      </x:c>
      <x:c r="F23" s="4" t="inlineStr">
        <x:is>
          <x:t xml:space="preserve"/>
        </x:is>
      </x:c>
      <x:c r="G23" s="4" t="inlineStr">
        <x:is>
          <x:t xml:space="preserve">https://www.sunsationalswimschool.com/</x:t>
        </x:is>
      </x:c>
      <x:c r="H23" s="4" t="inlineStr">
        <x:is>
          <x:t xml:space="preserve">Private lesson inquiry, matching, scheduling, instructor/customer coordination.</x:t>
        </x:is>
      </x:c>
      <x:c r="I23" s="4" t="n"/>
      <x:c r="J23" s="4" t="inlineStr">
        <x:is>
          <x:t xml:space="preserve">Paid Audit</x:t>
        </x:is>
      </x:c>
      <x:c r="K23" s="4" t="inlineStr">
        <x:is>
          <x:t xml:space="preserve">Not Contacted</x:t>
        </x:is>
      </x:c>
      <x:c r="L23" s="4" t="n">
        <x:v>400</x:v>
      </x:c>
      <x:c r="M23" s="4" t="n">
        <x:v>0.1</x:v>
      </x:c>
      <x:c r="N23" s="4" t="n">
        <x:f>L23*M23</x:f>
        <x:v>40</x:v>
      </x:c>
      <x:c r="O23" s="4" t="inlineStr">
        <x:is>
          <x:t xml:space="preserve">Lead matching workflow may be a strong angle.</x:t>
        </x:is>
      </x:c>
      <x:c r="P23" s="11" t="n">
        <x:v>46215</x:v>
      </x:c>
      <x:c r="Q23" s="4" t="n"/>
      <x:c r="R23" s="4" t="inlineStr">
        <x:is>
          <x:t xml:space="preserve">Starter seed. Verify contact before sending.</x:t>
        </x:is>
      </x:c>
    </x:row>
    <x:row r="24">
      <x:c r="A24" s="12" t="n">
        <x:v>46215</x:v>
      </x:c>
      <x:c r="B24" s="6" t="inlineStr">
        <x:is>
          <x:t xml:space="preserve">Swim/Sports Niche</x:t>
        </x:is>
      </x:c>
      <x:c r="C24" s="6" t="inlineStr">
        <x:is>
          <x:t xml:space="preserve">Private swim lessons</x:t>
        </x:is>
      </x:c>
      <x:c r="D24" s="6" t="inlineStr">
        <x:is>
          <x:t xml:space="preserve">US/Canada</x:t>
        </x:is>
      </x:c>
      <x:c r="E24" s="6" t="inlineStr">
        <x:is>
          <x:t xml:space="preserve">AquaMobile Swim School</x:t>
        </x:is>
      </x:c>
      <x:c r="F24" s="6" t="inlineStr">
        <x:is>
          <x:t xml:space="preserve"/>
        </x:is>
      </x:c>
      <x:c r="G24" s="6" t="inlineStr">
        <x:is>
          <x:t xml:space="preserve">https://aquamobileswim.com/</x:t>
        </x:is>
      </x:c>
      <x:c r="H24" s="6" t="inlineStr">
        <x:is>
          <x:t xml:space="preserve">At-home lesson booking, instructor matching, payment/follow-up flow.</x:t>
        </x:is>
      </x:c>
      <x:c r="I24" s="6" t="n"/>
      <x:c r="J24" s="6" t="inlineStr">
        <x:is>
          <x:t xml:space="preserve">Paid Audit</x:t>
        </x:is>
      </x:c>
      <x:c r="K24" s="6" t="inlineStr">
        <x:is>
          <x:t xml:space="preserve">Not Contacted</x:t>
        </x:is>
      </x:c>
      <x:c r="L24" s="6" t="n">
        <x:v>400</x:v>
      </x:c>
      <x:c r="M24" s="6" t="n">
        <x:v>0.1</x:v>
      </x:c>
      <x:c r="N24" s="6" t="n">
        <x:f>L24*M24</x:f>
        <x:v>40</x:v>
      </x:c>
      <x:c r="O24" s="6" t="inlineStr">
        <x:is>
          <x:t xml:space="preserve">Lead-to-instructor matching workflow may be relevant.</x:t>
        </x:is>
      </x:c>
      <x:c r="P24" s="12" t="n">
        <x:v>46215</x:v>
      </x:c>
      <x:c r="Q24" s="6" t="n"/>
      <x:c r="R24" s="6" t="inlineStr">
        <x:is>
          <x:t xml:space="preserve">Starter seed. Verify contact before sending.</x:t>
        </x:is>
      </x:c>
    </x:row>
    <x:row r="25">
      <x:c r="A25" s="11" t="n">
        <x:v>46215</x:v>
      </x:c>
      <x:c r="B25" s="4" t="inlineStr">
        <x:is>
          <x:t xml:space="preserve">Swim/Sports Niche</x:t>
        </x:is>
      </x:c>
      <x:c r="C25" s="4" t="inlineStr">
        <x:is>
          <x:t xml:space="preserve">Swim analysis/coaching</x:t>
        </x:is>
      </x:c>
      <x:c r="D25" s="4" t="inlineStr">
        <x:is>
          <x:t xml:space="preserve">US</x:t>
        </x:is>
      </x:c>
      <x:c r="E25" s="4" t="inlineStr">
        <x:is>
          <x:t xml:space="preserve">SwimLabs</x:t>
        </x:is>
      </x:c>
      <x:c r="F25" s="4" t="inlineStr">
        <x:is>
          <x:t xml:space="preserve"/>
        </x:is>
      </x:c>
      <x:c r="G25" s="4" t="inlineStr">
        <x:is>
          <x:t xml:space="preserve">https://www.swimlabs.com/</x:t>
        </x:is>
      </x:c>
      <x:c r="H25" s="4" t="inlineStr">
        <x:is>
          <x:t xml:space="preserve">Video analysis, lessons, locations, assessment/booking workflow.</x:t>
        </x:is>
      </x:c>
      <x:c r="I25" s="4" t="n"/>
      <x:c r="J25" s="4" t="inlineStr">
        <x:is>
          <x:t xml:space="preserve">Paid Audit</x:t>
        </x:is>
      </x:c>
      <x:c r="K25" s="4" t="inlineStr">
        <x:is>
          <x:t xml:space="preserve">Not Contacted</x:t>
        </x:is>
      </x:c>
      <x:c r="L25" s="4" t="n">
        <x:v>400</x:v>
      </x:c>
      <x:c r="M25" s="4" t="n">
        <x:v>0.08</x:v>
      </x:c>
      <x:c r="N25" s="4" t="n">
        <x:f>L25*M25</x:f>
        <x:v>32</x:v>
      </x:c>
      <x:c r="O25" s="4" t="inlineStr">
        <x:is>
          <x:t xml:space="preserve">Good StrokeLab proof comparison.</x:t>
        </x:is>
      </x:c>
      <x:c r="P25" s="11" t="n">
        <x:v>46215</x:v>
      </x:c>
      <x:c r="Q25" s="4" t="n"/>
      <x:c r="R25" s="4" t="inlineStr">
        <x:is>
          <x:t xml:space="preserve">Starter seed. Verify contact before sending.</x:t>
        </x:is>
      </x:c>
    </x:row>
    <x:row r="26">
      <x:c r="A26" s="12" t="n">
        <x:v>46215</x:v>
      </x:c>
      <x:c r="B26" s="6" t="inlineStr">
        <x:is>
          <x:t xml:space="preserve">Swim/Sports Niche</x:t>
        </x:is>
      </x:c>
      <x:c r="C26" s="6" t="inlineStr">
        <x:is>
          <x:t xml:space="preserve">Swim school</x:t>
        </x:is>
      </x:c>
      <x:c r="D26" s="6" t="inlineStr">
        <x:is>
          <x:t xml:space="preserve">Australia</x:t>
        </x:is>
      </x:c>
      <x:c r="E26" s="6" t="inlineStr">
        <x:is>
          <x:t xml:space="preserve">Carlile Swimming</x:t>
        </x:is>
      </x:c>
      <x:c r="F26" s="6" t="inlineStr">
        <x:is>
          <x:t xml:space="preserve"/>
        </x:is>
      </x:c>
      <x:c r="G26" s="6" t="inlineStr">
        <x:is>
          <x:t xml:space="preserve">https://www.carlile.com.au/</x:t>
        </x:is>
      </x:c>
      <x:c r="H26" s="6" t="inlineStr">
        <x:is>
          <x:t xml:space="preserve">Learn-to-swim program, levels, enrollment, multiple centers.</x:t>
        </x:is>
      </x:c>
      <x:c r="I26" s="6" t="n"/>
      <x:c r="J26" s="6" t="inlineStr">
        <x:is>
          <x:t xml:space="preserve">Paid Audit</x:t>
        </x:is>
      </x:c>
      <x:c r="K26" s="6" t="inlineStr">
        <x:is>
          <x:t xml:space="preserve">Not Contacted</x:t>
        </x:is>
      </x:c>
      <x:c r="L26" s="6" t="n">
        <x:v>400</x:v>
      </x:c>
      <x:c r="M26" s="6" t="n">
        <x:v>0.08</x:v>
      </x:c>
      <x:c r="N26" s="6" t="n">
        <x:f>L26*M26</x:f>
        <x:v>32</x:v>
      </x:c>
      <x:c r="O26" s="6" t="inlineStr">
        <x:is>
          <x:t xml:space="preserve">May be too mature; use as research or local contact.</x:t>
        </x:is>
      </x:c>
      <x:c r="P26" s="12" t="n">
        <x:v>46215</x:v>
      </x:c>
      <x:c r="Q26" s="6" t="n"/>
      <x:c r="R26" s="6" t="inlineStr">
        <x:is>
          <x:t xml:space="preserve">Starter seed. Verify contact before sending.</x:t>
        </x:is>
      </x:c>
    </x:row>
    <x:row r="27">
      <x:c r="A27" s="11" t="n">
        <x:v>46215</x:v>
      </x:c>
      <x:c r="B27" s="4" t="inlineStr">
        <x:is>
          <x:t xml:space="preserve">Swim/Sports Niche</x:t>
        </x:is>
      </x:c>
      <x:c r="C27" s="4" t="inlineStr">
        <x:is>
          <x:t xml:space="preserve">Swim school</x:t>
        </x:is>
      </x:c>
      <x:c r="D27" s="4" t="inlineStr">
        <x:is>
          <x:t xml:space="preserve">Australia</x:t>
        </x:is>
      </x:c>
      <x:c r="E27" s="4" t="inlineStr">
        <x:is>
          <x:t xml:space="preserve">State Swim</x:t>
        </x:is>
      </x:c>
      <x:c r="F27" s="4" t="inlineStr">
        <x:is>
          <x:t xml:space="preserve"/>
        </x:is>
      </x:c>
      <x:c r="G27" s="4" t="inlineStr">
        <x:is>
          <x:t xml:space="preserve">https://www.stateswim.com.au/</x:t>
        </x:is>
      </x:c>
      <x:c r="H27" s="4" t="inlineStr">
        <x:is>
          <x:t xml:space="preserve">Class levels, booking/enrollment, multiple locations.</x:t>
        </x:is>
      </x:c>
      <x:c r="I27" s="4" t="n"/>
      <x:c r="J27" s="4" t="inlineStr">
        <x:is>
          <x:t xml:space="preserve">Paid Audit</x:t>
        </x:is>
      </x:c>
      <x:c r="K27" s="4" t="inlineStr">
        <x:is>
          <x:t xml:space="preserve">Not Contacted</x:t>
        </x:is>
      </x:c>
      <x:c r="L27" s="4" t="n">
        <x:v>400</x:v>
      </x:c>
      <x:c r="M27" s="4" t="n">
        <x:v>0.08</x:v>
      </x:c>
      <x:c r="N27" s="4" t="n">
        <x:f>L27*M27</x:f>
        <x:v>32</x:v>
      </x:c>
      <x:c r="O27" s="4" t="inlineStr">
        <x:is>
          <x:t xml:space="preserve">Research franchise/location operators.</x:t>
        </x:is>
      </x:c>
      <x:c r="P27" s="11" t="n">
        <x:v>46215</x:v>
      </x:c>
      <x:c r="Q27" s="4" t="n"/>
      <x:c r="R27" s="4" t="inlineStr">
        <x:is>
          <x:t xml:space="preserve">Starter seed. Verify contact before sending.</x:t>
        </x:is>
      </x:c>
    </x:row>
    <x:row r="28">
      <x:c r="A28" s="12" t="n">
        <x:v>46215</x:v>
      </x:c>
      <x:c r="B28" s="6" t="inlineStr">
        <x:is>
          <x:t xml:space="preserve">Swim/Sports Niche</x:t>
        </x:is>
      </x:c>
      <x:c r="C28" s="6" t="inlineStr">
        <x:is>
          <x:t xml:space="preserve">Swim school</x:t>
        </x:is>
      </x:c>
      <x:c r="D28" s="6" t="inlineStr">
        <x:is>
          <x:t xml:space="preserve">Australia</x:t>
        </x:is>
      </x:c>
      <x:c r="E28" s="6" t="inlineStr">
        <x:is>
          <x:t xml:space="preserve">JUMP! Swim Schools</x:t>
        </x:is>
      </x:c>
      <x:c r="F28" s="6" t="inlineStr">
        <x:is>
          <x:t xml:space="preserve"/>
        </x:is>
      </x:c>
      <x:c r="G28" s="6" t="inlineStr">
        <x:is>
          <x:t xml:space="preserve">https://jumpswimschools.com.au/</x:t>
        </x:is>
      </x:c>
      <x:c r="H28" s="6" t="inlineStr">
        <x:is>
          <x:t xml:space="preserve">Small-class swim school model, franchise locations, enrollment flow.</x:t>
        </x:is>
      </x:c>
      <x:c r="I28" s="6" t="n"/>
      <x:c r="J28" s="6" t="inlineStr">
        <x:is>
          <x:t xml:space="preserve">Paid Audit</x:t>
        </x:is>
      </x:c>
      <x:c r="K28" s="6" t="inlineStr">
        <x:is>
          <x:t xml:space="preserve">Not Contacted</x:t>
        </x:is>
      </x:c>
      <x:c r="L28" s="6" t="n">
        <x:v>400</x:v>
      </x:c>
      <x:c r="M28" s="6" t="n">
        <x:v>0.08</x:v>
      </x:c>
      <x:c r="N28" s="6" t="n">
        <x:f>L28*M28</x:f>
        <x:v>32</x:v>
      </x:c>
      <x:c r="O28" s="6" t="inlineStr">
        <x:is>
          <x:t xml:space="preserve">Target local operator if contact is visible.</x:t>
        </x:is>
      </x:c>
      <x:c r="P28" s="12" t="n">
        <x:v>46215</x:v>
      </x:c>
      <x:c r="Q28" s="6" t="n"/>
      <x:c r="R28" s="6" t="inlineStr">
        <x:is>
          <x:t xml:space="preserve">Starter seed. Verify contact before sending.</x:t>
        </x:is>
      </x:c>
    </x:row>
    <x:row r="29">
      <x:c r="A29" s="11" t="n">
        <x:v>46215</x:v>
      </x:c>
      <x:c r="B29" s="4" t="inlineStr">
        <x:is>
          <x:t xml:space="preserve">Swim/Sports Niche</x:t>
        </x:is>
      </x:c>
      <x:c r="C29" s="4" t="inlineStr">
        <x:is>
          <x:t xml:space="preserve">Swim school</x:t>
        </x:is>
      </x:c>
      <x:c r="D29" s="4" t="inlineStr">
        <x:is>
          <x:t xml:space="preserve">Australia</x:t>
        </x:is>
      </x:c>
      <x:c r="E29" s="4" t="inlineStr">
        <x:is>
          <x:t xml:space="preserve">Kingswim</x:t>
        </x:is>
      </x:c>
      <x:c r="F29" s="4" t="inlineStr">
        <x:is>
          <x:t xml:space="preserve"/>
        </x:is>
      </x:c>
      <x:c r="G29" s="4" t="inlineStr">
        <x:is>
          <x:t xml:space="preserve">https://www.kingswim.com.au/</x:t>
        </x:is>
      </x:c>
      <x:c r="H29" s="4" t="inlineStr">
        <x:is>
          <x:t xml:space="preserve">Lessons, class levels, customer booking, multi-location operations.</x:t>
        </x:is>
      </x:c>
      <x:c r="I29" s="4" t="n"/>
      <x:c r="J29" s="4" t="inlineStr">
        <x:is>
          <x:t xml:space="preserve">Paid Audit</x:t>
        </x:is>
      </x:c>
      <x:c r="K29" s="4" t="inlineStr">
        <x:is>
          <x:t xml:space="preserve">Not Contacted</x:t>
        </x:is>
      </x:c>
      <x:c r="L29" s="4" t="n">
        <x:v>400</x:v>
      </x:c>
      <x:c r="M29" s="4" t="n">
        <x:v>0.08</x:v>
      </x:c>
      <x:c r="N29" s="4" t="n">
        <x:f>L29*M29</x:f>
        <x:v>32</x:v>
      </x:c>
      <x:c r="O29" s="4" t="inlineStr">
        <x:is>
          <x:t xml:space="preserve">Research individual center operators.</x:t>
        </x:is>
      </x:c>
      <x:c r="P29" s="11" t="n">
        <x:v>46215</x:v>
      </x:c>
      <x:c r="Q29" s="4" t="n"/>
      <x:c r="R29" s="4" t="inlineStr">
        <x:is>
          <x:t xml:space="preserve">Starter seed. Verify contact before sending.</x:t>
        </x:is>
      </x:c>
    </x:row>
    <x:row r="30">
      <x:c r="A30" s="12" t="n">
        <x:v>46215</x:v>
      </x:c>
      <x:c r="B30" s="6" t="inlineStr">
        <x:is>
          <x:t xml:space="preserve">Agency/Operator</x:t>
        </x:is>
      </x:c>
      <x:c r="C30" s="6" t="inlineStr">
        <x:is>
          <x:t xml:space="preserve">B2B SaaS agency</x:t>
        </x:is>
      </x:c>
      <x:c r="D30" s="6" t="inlineStr">
        <x:is>
          <x:t xml:space="preserve">US/Canada</x:t>
        </x:is>
      </x:c>
      <x:c r="E30" s="6" t="inlineStr">
        <x:is>
          <x:t xml:space="preserve">Powered by Search</x:t>
        </x:is>
      </x:c>
      <x:c r="F30" s="6" t="inlineStr">
        <x:is>
          <x:t xml:space="preserve"/>
        </x:is>
      </x:c>
      <x:c r="G30" s="6" t="inlineStr">
        <x:is>
          <x:t xml:space="preserve">https://www.poweredbysearch.com/</x:t>
        </x:is>
      </x:c>
      <x:c r="H30" s="6" t="inlineStr">
        <x:is>
          <x:t xml:space="preserve">Client onboarding, reporting, campaign dashboards, recurring delivery process.</x:t>
        </x:is>
      </x:c>
      <x:c r="I30" s="6" t="n"/>
      <x:c r="J30" s="6" t="inlineStr">
        <x:is>
          <x:t xml:space="preserve">Implementation Sprint</x:t>
        </x:is>
      </x:c>
      <x:c r="K30" s="6" t="inlineStr">
        <x:is>
          <x:t xml:space="preserve">Not Contacted</x:t>
        </x:is>
      </x:c>
      <x:c r="L30" s="6" t="n">
        <x:v>1800</x:v>
      </x:c>
      <x:c r="M30" s="6" t="n">
        <x:v>0.08</x:v>
      </x:c>
      <x:c r="N30" s="6" t="n">
        <x:f>L30*M30</x:f>
        <x:v>144</x:v>
      </x:c>
      <x:c r="O30" s="6" t="inlineStr">
        <x:is>
          <x:t xml:space="preserve">Target ops/delivery leader, not generic contact.</x:t>
        </x:is>
      </x:c>
      <x:c r="P30" s="12" t="n">
        <x:v>46215</x:v>
      </x:c>
      <x:c r="Q30" s="6" t="n"/>
      <x:c r="R30" s="6" t="inlineStr">
        <x:is>
          <x:t xml:space="preserve">Starter seed. Verify contact before sending.</x:t>
        </x:is>
      </x:c>
    </x:row>
    <x:row r="31">
      <x:c r="A31" s="11" t="n">
        <x:v>46215</x:v>
      </x:c>
      <x:c r="B31" s="4" t="inlineStr">
        <x:is>
          <x:t xml:space="preserve">Agency/Operator</x:t>
        </x:is>
      </x:c>
      <x:c r="C31" s="4" t="inlineStr">
        <x:is>
          <x:t xml:space="preserve">Inbound agency</x:t>
        </x:is>
      </x:c>
      <x:c r="D31" s="4" t="inlineStr">
        <x:is>
          <x:t xml:space="preserve">US</x:t>
        </x:is>
      </x:c>
      <x:c r="E31" s="4" t="inlineStr">
        <x:is>
          <x:t xml:space="preserve">SmartBug Media</x:t>
        </x:is>
      </x:c>
      <x:c r="F31" s="4" t="inlineStr">
        <x:is>
          <x:t xml:space="preserve"/>
        </x:is>
      </x:c>
      <x:c r="G31" s="4" t="inlineStr">
        <x:is>
          <x:t xml:space="preserve">https://www.smartbugmedia.com/</x:t>
        </x:is>
      </x:c>
      <x:c r="H31" s="4" t="inlineStr">
        <x:is>
          <x:t xml:space="preserve">Client reporting, onboarding, HubSpot/RevOps workflows.</x:t>
        </x:is>
      </x:c>
      <x:c r="I31" s="4" t="n"/>
      <x:c r="J31" s="4" t="inlineStr">
        <x:is>
          <x:t xml:space="preserve">Implementation Sprint</x:t>
        </x:is>
      </x:c>
      <x:c r="K31" s="4" t="inlineStr">
        <x:is>
          <x:t xml:space="preserve">Not Contacted</x:t>
        </x:is>
      </x:c>
      <x:c r="L31" s="4" t="n">
        <x:v>1800</x:v>
      </x:c>
      <x:c r="M31" s="4" t="n">
        <x:v>0.08</x:v>
      </x:c>
      <x:c r="N31" s="4" t="n">
        <x:f>L31*M31</x:f>
        <x:v>144</x:v>
      </x:c>
      <x:c r="O31" s="4" t="inlineStr">
        <x:is>
          <x:t xml:space="preserve">May already be mature; use specific workflow angle.</x:t>
        </x:is>
      </x:c>
      <x:c r="P31" s="11" t="n">
        <x:v>46215</x:v>
      </x:c>
      <x:c r="Q31" s="4" t="n"/>
      <x:c r="R31" s="4" t="inlineStr">
        <x:is>
          <x:t xml:space="preserve">Starter seed. Verify contact before sending.</x:t>
        </x:is>
      </x:c>
    </x:row>
    <x:row r="32">
      <x:c r="A32" s="12" t="n">
        <x:v>46215</x:v>
      </x:c>
      <x:c r="B32" s="6" t="inlineStr">
        <x:is>
          <x:t xml:space="preserve">Agency/Operator</x:t>
        </x:is>
      </x:c>
      <x:c r="C32" s="6" t="inlineStr">
        <x:is>
          <x:t xml:space="preserve">Performance agency</x:t>
        </x:is>
      </x:c>
      <x:c r="D32" s="6" t="inlineStr">
        <x:is>
          <x:t xml:space="preserve">US</x:t>
        </x:is>
      </x:c>
      <x:c r="E32" s="6" t="inlineStr">
        <x:is>
          <x:t xml:space="preserve">KlientBoost</x:t>
        </x:is>
      </x:c>
      <x:c r="F32" s="6" t="inlineStr">
        <x:is>
          <x:t xml:space="preserve"/>
        </x:is>
      </x:c>
      <x:c r="G32" s="6" t="inlineStr">
        <x:is>
          <x:t xml:space="preserve">https://klientboost.com/</x:t>
        </x:is>
      </x:c>
      <x:c r="H32" s="6" t="inlineStr">
        <x:is>
          <x:t xml:space="preserve">Client reporting and recurring performance communication.</x:t>
        </x:is>
      </x:c>
      <x:c r="I32" s="6" t="n"/>
      <x:c r="J32" s="6" t="inlineStr">
        <x:is>
          <x:t xml:space="preserve">Implementation Sprint</x:t>
        </x:is>
      </x:c>
      <x:c r="K32" s="6" t="inlineStr">
        <x:is>
          <x:t xml:space="preserve">Not Contacted</x:t>
        </x:is>
      </x:c>
      <x:c r="L32" s="6" t="n">
        <x:v>1800</x:v>
      </x:c>
      <x:c r="M32" s="6" t="n">
        <x:v>0.07000000000000001</x:v>
      </x:c>
      <x:c r="N32" s="6" t="n">
        <x:f>L32*M32</x:f>
        <x:v>126.00000000000001</x:v>
      </x:c>
      <x:c r="O32" s="6" t="inlineStr">
        <x:is>
          <x:t xml:space="preserve">Likely mature; prioritize if you can find ops pain.</x:t>
        </x:is>
      </x:c>
      <x:c r="P32" s="12" t="n">
        <x:v>46215</x:v>
      </x:c>
      <x:c r="Q32" s="6" t="n"/>
      <x:c r="R32" s="6" t="inlineStr">
        <x:is>
          <x:t xml:space="preserve">Starter seed. Verify contact before sending.</x:t>
        </x:is>
      </x:c>
    </x:row>
    <x:row r="33">
      <x:c r="A33" s="11" t="n">
        <x:v>46215</x:v>
      </x:c>
      <x:c r="B33" s="4" t="inlineStr">
        <x:is>
          <x:t xml:space="preserve">Agency/Operator</x:t>
        </x:is>
      </x:c>
      <x:c r="C33" s="4" t="inlineStr">
        <x:is>
          <x:t xml:space="preserve">SaaS marketing agency</x:t>
        </x:is>
      </x:c>
      <x:c r="D33" s="4" t="inlineStr">
        <x:is>
          <x:t xml:space="preserve">US/UK</x:t>
        </x:is>
      </x:c>
      <x:c r="E33" s="4" t="inlineStr">
        <x:is>
          <x:t xml:space="preserve">Directive Consulting</x:t>
        </x:is>
      </x:c>
      <x:c r="F33" s="4" t="inlineStr">
        <x:is>
          <x:t xml:space="preserve"/>
        </x:is>
      </x:c>
      <x:c r="G33" s="4" t="inlineStr">
        <x:is>
          <x:t xml:space="preserve">https://directiveconsulting.com/</x:t>
        </x:is>
      </x:c>
      <x:c r="H33" s="4" t="inlineStr">
        <x:is>
          <x:t xml:space="preserve">SaaS client onboarding, reporting, dashboards.</x:t>
        </x:is>
      </x:c>
      <x:c r="I33" s="4" t="n"/>
      <x:c r="J33" s="4" t="inlineStr">
        <x:is>
          <x:t xml:space="preserve">Implementation Sprint</x:t>
        </x:is>
      </x:c>
      <x:c r="K33" s="4" t="inlineStr">
        <x:is>
          <x:t xml:space="preserve">Not Contacted</x:t>
        </x:is>
      </x:c>
      <x:c r="L33" s="4" t="n">
        <x:v>1800</x:v>
      </x:c>
      <x:c r="M33" s="4" t="n">
        <x:v>0.07000000000000001</x:v>
      </x:c>
      <x:c r="N33" s="4" t="n">
        <x:f>L33*M33</x:f>
        <x:v>126.00000000000001</x:v>
      </x:c>
      <x:c r="O33" s="4" t="inlineStr">
        <x:is>
          <x:t xml:space="preserve">Likely mature; use as research if no contact path.</x:t>
        </x:is>
      </x:c>
      <x:c r="P33" s="11" t="n">
        <x:v>46215</x:v>
      </x:c>
      <x:c r="Q33" s="4" t="n"/>
      <x:c r="R33" s="4" t="inlineStr">
        <x:is>
          <x:t xml:space="preserve">Starter seed. Verify contact before sending.</x:t>
        </x:is>
      </x:c>
    </x:row>
    <x:row r="34">
      <x:c r="A34" s="12" t="n">
        <x:v>46215</x:v>
      </x:c>
      <x:c r="B34" s="6" t="inlineStr">
        <x:is>
          <x:t xml:space="preserve">Agency/Operator</x:t>
        </x:is>
      </x:c>
      <x:c r="C34" s="6" t="inlineStr">
        <x:is>
          <x:t xml:space="preserve">Content agency</x:t>
        </x:is>
      </x:c>
      <x:c r="D34" s="6" t="inlineStr">
        <x:is>
          <x:t xml:space="preserve">US</x:t>
        </x:is>
      </x:c>
      <x:c r="E34" s="6" t="inlineStr">
        <x:is>
          <x:t xml:space="preserve">Siege Media</x:t>
        </x:is>
      </x:c>
      <x:c r="F34" s="6" t="inlineStr">
        <x:is>
          <x:t xml:space="preserve"/>
        </x:is>
      </x:c>
      <x:c r="G34" s="6" t="inlineStr">
        <x:is>
          <x:t xml:space="preserve">https://www.siegemedia.com/</x:t>
        </x:is>
      </x:c>
      <x:c r="H34" s="6" t="inlineStr">
        <x:is>
          <x:t xml:space="preserve">Content production workflow, client approvals, reporting.</x:t>
        </x:is>
      </x:c>
      <x:c r="I34" s="6" t="n"/>
      <x:c r="J34" s="6" t="inlineStr">
        <x:is>
          <x:t xml:space="preserve">Implementation Sprint</x:t>
        </x:is>
      </x:c>
      <x:c r="K34" s="6" t="inlineStr">
        <x:is>
          <x:t xml:space="preserve">Not Contacted</x:t>
        </x:is>
      </x:c>
      <x:c r="L34" s="6" t="n">
        <x:v>1800</x:v>
      </x:c>
      <x:c r="M34" s="6" t="n">
        <x:v>0.08</x:v>
      </x:c>
      <x:c r="N34" s="6" t="n">
        <x:f>L34*M34</x:f>
        <x:v>144</x:v>
      </x:c>
      <x:c r="O34" s="6" t="inlineStr">
        <x:is>
          <x:t xml:space="preserve">Workflow operations may be more relevant than AI pitch.</x:t>
        </x:is>
      </x:c>
      <x:c r="P34" s="12" t="n">
        <x:v>46215</x:v>
      </x:c>
      <x:c r="Q34" s="6" t="n"/>
      <x:c r="R34" s="6" t="inlineStr">
        <x:is>
          <x:t xml:space="preserve">Starter seed. Verify contact before sending.</x:t>
        </x:is>
      </x:c>
    </x:row>
    <x:row r="35">
      <x:c r="A35" s="11" t="n">
        <x:v>46215</x:v>
      </x:c>
      <x:c r="B35" s="4" t="inlineStr">
        <x:is>
          <x:t xml:space="preserve">Agency/Operator</x:t>
        </x:is>
      </x:c>
      <x:c r="C35" s="4" t="inlineStr">
        <x:is>
          <x:t xml:space="preserve">SEO agency</x:t>
        </x:is>
      </x:c>
      <x:c r="D35" s="4" t="inlineStr">
        <x:is>
          <x:t xml:space="preserve">US</x:t>
        </x:is>
      </x:c>
      <x:c r="E35" s="4" t="inlineStr">
        <x:is>
          <x:t xml:space="preserve">SimpleTiger</x:t>
        </x:is>
      </x:c>
      <x:c r="F35" s="4" t="inlineStr">
        <x:is>
          <x:t xml:space="preserve"/>
        </x:is>
      </x:c>
      <x:c r="G35" s="4" t="inlineStr">
        <x:is>
          <x:t xml:space="preserve">https://www.simpletiger.com/</x:t>
        </x:is>
      </x:c>
      <x:c r="H35" s="4" t="inlineStr">
        <x:is>
          <x:t xml:space="preserve">SEO deliverables, reporting, recurring client workflows.</x:t>
        </x:is>
      </x:c>
      <x:c r="I35" s="4" t="n"/>
      <x:c r="J35" s="4" t="inlineStr">
        <x:is>
          <x:t xml:space="preserve">Implementation Sprint</x:t>
        </x:is>
      </x:c>
      <x:c r="K35" s="4" t="inlineStr">
        <x:is>
          <x:t xml:space="preserve">Not Contacted</x:t>
        </x:is>
      </x:c>
      <x:c r="L35" s="4" t="n">
        <x:v>1800</x:v>
      </x:c>
      <x:c r="M35" s="4" t="n">
        <x:v>0.08</x:v>
      </x:c>
      <x:c r="N35" s="4" t="n">
        <x:f>L35*M35</x:f>
        <x:v>144</x:v>
      </x:c>
      <x:c r="O35" s="4" t="inlineStr">
        <x:is>
          <x:t xml:space="preserve">Look for founder/ops contact.</x:t>
        </x:is>
      </x:c>
      <x:c r="P35" s="11" t="n">
        <x:v>46215</x:v>
      </x:c>
      <x:c r="Q35" s="4" t="n"/>
      <x:c r="R35" s="4" t="inlineStr">
        <x:is>
          <x:t xml:space="preserve">Starter seed. Verify contact before sending.</x:t>
        </x:is>
      </x:c>
    </x:row>
    <x:row r="36">
      <x:c r="A36" s="12" t="n">
        <x:v>46215</x:v>
      </x:c>
      <x:c r="B36" s="6" t="inlineStr">
        <x:is>
          <x:t xml:space="preserve">Agency/Operator</x:t>
        </x:is>
      </x:c>
      <x:c r="C36" s="6" t="inlineStr">
        <x:is>
          <x:t xml:space="preserve">Growth agency</x:t>
        </x:is>
      </x:c>
      <x:c r="D36" s="6" t="inlineStr">
        <x:is>
          <x:t xml:space="preserve">US</x:t>
        </x:is>
      </x:c>
      <x:c r="E36" s="6" t="inlineStr">
        <x:is>
          <x:t xml:space="preserve">NoGood</x:t>
        </x:is>
      </x:c>
      <x:c r="F36" s="6" t="inlineStr">
        <x:is>
          <x:t xml:space="preserve"/>
        </x:is>
      </x:c>
      <x:c r="G36" s="6" t="inlineStr">
        <x:is>
          <x:t xml:space="preserve">https://nogood.io/</x:t>
        </x:is>
      </x:c>
      <x:c r="H36" s="6" t="inlineStr">
        <x:is>
          <x:t xml:space="preserve">Growth experiments, reporting, internal workflow handoffs.</x:t>
        </x:is>
      </x:c>
      <x:c r="I36" s="6" t="n"/>
      <x:c r="J36" s="6" t="inlineStr">
        <x:is>
          <x:t xml:space="preserve">Implementation Sprint</x:t>
        </x:is>
      </x:c>
      <x:c r="K36" s="6" t="inlineStr">
        <x:is>
          <x:t xml:space="preserve">Not Contacted</x:t>
        </x:is>
      </x:c>
      <x:c r="L36" s="6" t="n">
        <x:v>1800</x:v>
      </x:c>
      <x:c r="M36" s="6" t="n">
        <x:v>0.07000000000000001</x:v>
      </x:c>
      <x:c r="N36" s="6" t="n">
        <x:f>L36*M36</x:f>
        <x:v>126.00000000000001</x:v>
      </x:c>
      <x:c r="O36" s="6" t="inlineStr">
        <x:is>
          <x:t xml:space="preserve">May be too sophisticated; use if specific pain clue exists.</x:t>
        </x:is>
      </x:c>
      <x:c r="P36" s="12" t="n">
        <x:v>46215</x:v>
      </x:c>
      <x:c r="Q36" s="6" t="n"/>
      <x:c r="R36" s="6" t="inlineStr">
        <x:is>
          <x:t xml:space="preserve">Starter seed. Verify contact before sending.</x:t>
        </x:is>
      </x:c>
    </x:row>
    <x:row r="37">
      <x:c r="A37" s="11" t="n">
        <x:v>46215</x:v>
      </x:c>
      <x:c r="B37" s="4" t="inlineStr">
        <x:is>
          <x:t xml:space="preserve">Agency/Operator</x:t>
        </x:is>
      </x:c>
      <x:c r="C37" s="4" t="inlineStr">
        <x:is>
          <x:t xml:space="preserve">Growth agency</x:t>
        </x:is>
      </x:c>
      <x:c r="D37" s="4" t="inlineStr">
        <x:is>
          <x:t xml:space="preserve">US</x:t>
        </x:is>
      </x:c>
      <x:c r="E37" s="4" t="inlineStr">
        <x:is>
          <x:t xml:space="preserve">Tuff Growth</x:t>
        </x:is>
      </x:c>
      <x:c r="F37" s="4" t="inlineStr">
        <x:is>
          <x:t xml:space="preserve"/>
        </x:is>
      </x:c>
      <x:c r="G37" s="4" t="inlineStr">
        <x:is>
          <x:t xml:space="preserve">https://tuffgrowth.com/</x:t>
        </x:is>
      </x:c>
      <x:c r="H37" s="4" t="inlineStr">
        <x:is>
          <x:t xml:space="preserve">Client onboarding/reporting and marketing ops workflows.</x:t>
        </x:is>
      </x:c>
      <x:c r="I37" s="4" t="n"/>
      <x:c r="J37" s="4" t="inlineStr">
        <x:is>
          <x:t xml:space="preserve">Implementation Sprint</x:t>
        </x:is>
      </x:c>
      <x:c r="K37" s="4" t="inlineStr">
        <x:is>
          <x:t xml:space="preserve">Not Contacted</x:t>
        </x:is>
      </x:c>
      <x:c r="L37" s="4" t="n">
        <x:v>1800</x:v>
      </x:c>
      <x:c r="M37" s="4" t="n">
        <x:v>0.08</x:v>
      </x:c>
      <x:c r="N37" s="4" t="n">
        <x:f>L37*M37</x:f>
        <x:v>144</x:v>
      </x:c>
      <x:c r="O37" s="4" t="inlineStr">
        <x:is>
          <x:t xml:space="preserve">Find founder/ops contact.</x:t>
        </x:is>
      </x:c>
      <x:c r="P37" s="11" t="n">
        <x:v>46215</x:v>
      </x:c>
      <x:c r="Q37" s="4" t="n"/>
      <x:c r="R37" s="4" t="inlineStr">
        <x:is>
          <x:t xml:space="preserve">Starter seed. Verify contact before sending.</x:t>
        </x:is>
      </x:c>
    </x:row>
    <x:row r="38">
      <x:c r="A38" s="12" t="n">
        <x:v>46215</x:v>
      </x:c>
      <x:c r="B38" s="6" t="inlineStr">
        <x:is>
          <x:t xml:space="preserve">Agency/Operator</x:t>
        </x:is>
      </x:c>
      <x:c r="C38" s="6" t="inlineStr">
        <x:is>
          <x:t xml:space="preserve">Content agency</x:t>
        </x:is>
      </x:c>
      <x:c r="D38" s="6" t="inlineStr">
        <x:is>
          <x:t xml:space="preserve">US</x:t>
        </x:is>
      </x:c>
      <x:c r="E38" s="6" t="inlineStr">
        <x:is>
          <x:t xml:space="preserve">Grow and Convert</x:t>
        </x:is>
      </x:c>
      <x:c r="F38" s="6" t="inlineStr">
        <x:is>
          <x:t xml:space="preserve"/>
        </x:is>
      </x:c>
      <x:c r="G38" s="6" t="inlineStr">
        <x:is>
          <x:t xml:space="preserve">https://www.growandconvert.com/</x:t>
        </x:is>
      </x:c>
      <x:c r="H38" s="6" t="inlineStr">
        <x:is>
          <x:t xml:space="preserve">Content workflow, research, client reporting, handoff process.</x:t>
        </x:is>
      </x:c>
      <x:c r="I38" s="6" t="n"/>
      <x:c r="J38" s="6" t="inlineStr">
        <x:is>
          <x:t xml:space="preserve">Implementation Sprint</x:t>
        </x:is>
      </x:c>
      <x:c r="K38" s="6" t="inlineStr">
        <x:is>
          <x:t xml:space="preserve">Not Contacted</x:t>
        </x:is>
      </x:c>
      <x:c r="L38" s="6" t="n">
        <x:v>1800</x:v>
      </x:c>
      <x:c r="M38" s="6" t="n">
        <x:v>0.08</x:v>
      </x:c>
      <x:c r="N38" s="6" t="n">
        <x:f>L38*M38</x:f>
        <x:v>144</x:v>
      </x:c>
      <x:c r="O38" s="6" t="inlineStr">
        <x:is>
          <x:t xml:space="preserve">Specific workflow observation needed.</x:t>
        </x:is>
      </x:c>
      <x:c r="P38" s="12" t="n">
        <x:v>46215</x:v>
      </x:c>
      <x:c r="Q38" s="6" t="n"/>
      <x:c r="R38" s="6" t="inlineStr">
        <x:is>
          <x:t xml:space="preserve">Starter seed. Verify contact before sending.</x:t>
        </x:is>
      </x:c>
    </x:row>
    <x:row r="39">
      <x:c r="A39" s="11" t="n">
        <x:v>46215</x:v>
      </x:c>
      <x:c r="B39" s="4" t="inlineStr">
        <x:is>
          <x:t xml:space="preserve">Agency/Operator</x:t>
        </x:is>
      </x:c>
      <x:c r="C39" s="4" t="inlineStr">
        <x:is>
          <x:t xml:space="preserve">Content agency</x:t>
        </x:is>
      </x:c>
      <x:c r="D39" s="4" t="inlineStr">
        <x:is>
          <x:t xml:space="preserve">US</x:t>
        </x:is>
      </x:c>
      <x:c r="E39" s="4" t="inlineStr">
        <x:is>
          <x:t xml:space="preserve">Codeless</x:t>
        </x:is>
      </x:c>
      <x:c r="F39" s="4" t="inlineStr">
        <x:is>
          <x:t xml:space="preserve"/>
        </x:is>
      </x:c>
      <x:c r="G39" s="4" t="inlineStr">
        <x:is>
          <x:t xml:space="preserve">https://getcodeless.com/</x:t>
        </x:is>
      </x:c>
      <x:c r="H39" s="4" t="inlineStr">
        <x:is>
          <x:t xml:space="preserve">Content operations, approvals, recurring reporting.</x:t>
        </x:is>
      </x:c>
      <x:c r="I39" s="4" t="n"/>
      <x:c r="J39" s="4" t="inlineStr">
        <x:is>
          <x:t xml:space="preserve">Implementation Sprint</x:t>
        </x:is>
      </x:c>
      <x:c r="K39" s="4" t="inlineStr">
        <x:is>
          <x:t xml:space="preserve">Not Contacted</x:t>
        </x:is>
      </x:c>
      <x:c r="L39" s="4" t="n">
        <x:v>1800</x:v>
      </x:c>
      <x:c r="M39" s="4" t="n">
        <x:v>0.08</x:v>
      </x:c>
      <x:c r="N39" s="4" t="n">
        <x:f>L39*M39</x:f>
        <x:v>144</x:v>
      </x:c>
      <x:c r="O39" s="4" t="inlineStr">
        <x:is>
          <x:t xml:space="preserve">Specific workflow observation needed.</x:t>
        </x:is>
      </x:c>
      <x:c r="P39" s="11" t="n">
        <x:v>46215</x:v>
      </x:c>
      <x:c r="Q39" s="4" t="n"/>
      <x:c r="R39" s="4" t="inlineStr">
        <x:is>
          <x:t xml:space="preserve">Starter seed. Verify contact before sending.</x:t>
        </x:is>
      </x:c>
    </x:row>
    <x:row r="40">
      <x:c r="A40" s="12" t="n">
        <x:v>46215</x:v>
      </x:c>
      <x:c r="B40" s="6" t="inlineStr">
        <x:is>
          <x:t xml:space="preserve">Corporate Wellness</x:t>
        </x:is>
      </x:c>
      <x:c r="C40" s="6" t="inlineStr">
        <x:is>
          <x:t xml:space="preserve">Fintech/company</x:t>
        </x:is>
      </x:c>
      <x:c r="D40" s="6" t="inlineStr">
        <x:is>
          <x:t xml:space="preserve">Nigeria</x:t>
        </x:is>
      </x:c>
      <x:c r="E40" s="6" t="inlineStr">
        <x:is>
          <x:t xml:space="preserve">Flutterwave</x:t>
        </x:is>
      </x:c>
      <x:c r="F40" s="6" t="inlineStr">
        <x:is>
          <x:t xml:space="preserve"/>
        </x:is>
      </x:c>
      <x:c r="G40" s="6" t="inlineStr">
        <x:is>
          <x:t xml:space="preserve">https://flutterwave.com/</x:t>
        </x:is>
      </x:c>
      <x:c r="H40" s="6" t="inlineStr">
        <x:is>
          <x:t xml:space="preserve">Corporate wellness/community angle; only pursue through warm intro.</x:t>
        </x:is>
      </x:c>
      <x:c r="I40" s="6" t="n"/>
      <x:c r="J40" s="6" t="inlineStr">
        <x:is>
          <x:t xml:space="preserve">Corporate Intro</x:t>
        </x:is>
      </x:c>
      <x:c r="K40" s="6" t="inlineStr">
        <x:is>
          <x:t xml:space="preserve">Not Contacted</x:t>
        </x:is>
      </x:c>
      <x:c r="L40" s="6" t="n">
        <x:v>500</x:v>
      </x:c>
      <x:c r="M40" s="6" t="n">
        <x:v>0.05</x:v>
      </x:c>
      <x:c r="N40" s="6" t="n">
        <x:f>L40*M40</x:f>
        <x:v>25</x:v>
      </x:c>
      <x:c r="O40" s="6" t="inlineStr">
        <x:is>
          <x:t xml:space="preserve">Do not cold pitch HR first; find warm path.</x:t>
        </x:is>
      </x:c>
      <x:c r="P40" s="12" t="n">
        <x:v>46215</x:v>
      </x:c>
      <x:c r="Q40" s="6" t="n"/>
      <x:c r="R40" s="6" t="inlineStr">
        <x:is>
          <x:t xml:space="preserve">Starter seed. Verify contact before sending.</x:t>
        </x:is>
      </x:c>
    </x:row>
    <x:row r="41">
      <x:c r="A41" s="11" t="n">
        <x:v>46215</x:v>
      </x:c>
      <x:c r="B41" s="4" t="inlineStr">
        <x:is>
          <x:t xml:space="preserve">Corporate Wellness</x:t>
        </x:is>
      </x:c>
      <x:c r="C41" s="4" t="inlineStr">
        <x:is>
          <x:t xml:space="preserve">Fintech/company</x:t>
        </x:is>
      </x:c>
      <x:c r="D41" s="4" t="inlineStr">
        <x:is>
          <x:t xml:space="preserve">Nigeria</x:t>
        </x:is>
      </x:c>
      <x:c r="E41" s="4" t="inlineStr">
        <x:is>
          <x:t xml:space="preserve">Paystack</x:t>
        </x:is>
      </x:c>
      <x:c r="F41" s="4" t="inlineStr">
        <x:is>
          <x:t xml:space="preserve"/>
        </x:is>
      </x:c>
      <x:c r="G41" s="4" t="inlineStr">
        <x:is>
          <x:t xml:space="preserve">https://paystack.com/</x:t>
        </x:is>
      </x:c>
      <x:c r="H41" s="4" t="inlineStr">
        <x:is>
          <x:t xml:space="preserve">Corporate wellness/community angle; only pursue through warm intro.</x:t>
        </x:is>
      </x:c>
      <x:c r="I41" s="4" t="n"/>
      <x:c r="J41" s="4" t="inlineStr">
        <x:is>
          <x:t xml:space="preserve">Corporate Intro</x:t>
        </x:is>
      </x:c>
      <x:c r="K41" s="4" t="inlineStr">
        <x:is>
          <x:t xml:space="preserve">Not Contacted</x:t>
        </x:is>
      </x:c>
      <x:c r="L41" s="4" t="n">
        <x:v>500</x:v>
      </x:c>
      <x:c r="M41" s="4" t="n">
        <x:v>0.05</x:v>
      </x:c>
      <x:c r="N41" s="4" t="n">
        <x:f>L41*M41</x:f>
        <x:v>25</x:v>
      </x:c>
      <x:c r="O41" s="4" t="inlineStr">
        <x:is>
          <x:t xml:space="preserve">Do not cold pitch HR first; find warm path.</x:t>
        </x:is>
      </x:c>
      <x:c r="P41" s="11" t="n">
        <x:v>46215</x:v>
      </x:c>
      <x:c r="Q41" s="4" t="n"/>
      <x:c r="R41" s="4" t="inlineStr">
        <x:is>
          <x:t xml:space="preserve">Starter seed. Verify contact before sending.</x:t>
        </x:is>
      </x:c>
    </x:row>
    <x:row r="42">
      <x:c r="A42" s="12" t="n">
        <x:v>46215</x:v>
      </x:c>
      <x:c r="B42" s="6" t="inlineStr">
        <x:is>
          <x:t xml:space="preserve">Corporate Wellness</x:t>
        </x:is>
      </x:c>
      <x:c r="C42" s="6" t="inlineStr">
        <x:is>
          <x:t xml:space="preserve">Fintech/company</x:t>
        </x:is>
      </x:c>
      <x:c r="D42" s="6" t="inlineStr">
        <x:is>
          <x:t xml:space="preserve">Nigeria</x:t>
        </x:is>
      </x:c>
      <x:c r="E42" s="6" t="inlineStr">
        <x:is>
          <x:t xml:space="preserve">PiggyVest</x:t>
        </x:is>
      </x:c>
      <x:c r="F42" s="6" t="inlineStr">
        <x:is>
          <x:t xml:space="preserve"/>
        </x:is>
      </x:c>
      <x:c r="G42" s="6" t="inlineStr">
        <x:is>
          <x:t xml:space="preserve">https://www.piggyvest.com/</x:t>
        </x:is>
      </x:c>
      <x:c r="H42" s="6" t="inlineStr">
        <x:is>
          <x:t xml:space="preserve">Corporate wellness/community angle; only pursue through warm intro.</x:t>
        </x:is>
      </x:c>
      <x:c r="I42" s="6" t="n"/>
      <x:c r="J42" s="6" t="inlineStr">
        <x:is>
          <x:t xml:space="preserve">Corporate Intro</x:t>
        </x:is>
      </x:c>
      <x:c r="K42" s="6" t="inlineStr">
        <x:is>
          <x:t xml:space="preserve">Not Contacted</x:t>
        </x:is>
      </x:c>
      <x:c r="L42" s="6" t="n">
        <x:v>500</x:v>
      </x:c>
      <x:c r="M42" s="6" t="n">
        <x:v>0.05</x:v>
      </x:c>
      <x:c r="N42" s="6" t="n">
        <x:f>L42*M42</x:f>
        <x:v>25</x:v>
      </x:c>
      <x:c r="O42" s="6" t="inlineStr">
        <x:is>
          <x:t xml:space="preserve">Do not cold pitch HR first; find warm path.</x:t>
        </x:is>
      </x:c>
      <x:c r="P42" s="12" t="n">
        <x:v>46215</x:v>
      </x:c>
      <x:c r="Q42" s="6" t="n"/>
      <x:c r="R42" s="6" t="inlineStr">
        <x:is>
          <x:t xml:space="preserve">Starter seed. Verify contact before sending.</x:t>
        </x:is>
      </x:c>
    </x:row>
    <x:row r="43">
      <x:c r="A43" s="11" t="n">
        <x:v>46215</x:v>
      </x:c>
      <x:c r="B43" s="4" t="inlineStr">
        <x:is>
          <x:t xml:space="preserve">Corporate Wellness</x:t>
        </x:is>
      </x:c>
      <x:c r="C43" s="4" t="inlineStr">
        <x:is>
          <x:t xml:space="preserve">Tech talent/company</x:t>
        </x:is>
      </x:c>
      <x:c r="D43" s="4" t="inlineStr">
        <x:is>
          <x:t xml:space="preserve">Remote/Africa</x:t>
        </x:is>
      </x:c>
      <x:c r="E43" s="4" t="inlineStr">
        <x:is>
          <x:t xml:space="preserve">Andela</x:t>
        </x:is>
      </x:c>
      <x:c r="F43" s="4" t="inlineStr">
        <x:is>
          <x:t xml:space="preserve"/>
        </x:is>
      </x:c>
      <x:c r="G43" s="4" t="inlineStr">
        <x:is>
          <x:t xml:space="preserve">https://andela.com/</x:t>
        </x:is>
      </x:c>
      <x:c r="H43" s="4" t="inlineStr">
        <x:is>
          <x:t xml:space="preserve">Wellness/community/team-building angle; only pursue through warm intro.</x:t>
        </x:is>
      </x:c>
      <x:c r="I43" s="4" t="n"/>
      <x:c r="J43" s="4" t="inlineStr">
        <x:is>
          <x:t xml:space="preserve">Corporate Intro</x:t>
        </x:is>
      </x:c>
      <x:c r="K43" s="4" t="inlineStr">
        <x:is>
          <x:t xml:space="preserve">Not Contacted</x:t>
        </x:is>
      </x:c>
      <x:c r="L43" s="4" t="n">
        <x:v>500</x:v>
      </x:c>
      <x:c r="M43" s="4" t="n">
        <x:v>0.05</x:v>
      </x:c>
      <x:c r="N43" s="4" t="n">
        <x:f>L43*M43</x:f>
        <x:v>25</x:v>
      </x:c>
      <x:c r="O43" s="4" t="inlineStr">
        <x:is>
          <x:t xml:space="preserve">Find people/ops contact through network.</x:t>
        </x:is>
      </x:c>
      <x:c r="P43" s="11" t="n">
        <x:v>46215</x:v>
      </x:c>
      <x:c r="Q43" s="4" t="n"/>
      <x:c r="R43" s="4" t="inlineStr">
        <x:is>
          <x:t xml:space="preserve">Starter seed. Verify contact before sending.</x:t>
        </x:is>
      </x:c>
    </x:row>
    <x:row r="44">
      <x:c r="A44" s="12" t="n">
        <x:v>46215</x:v>
      </x:c>
      <x:c r="B44" s="6" t="inlineStr">
        <x:is>
          <x:t xml:space="preserve">Corporate Wellness</x:t>
        </x:is>
      </x:c>
      <x:c r="C44" s="6" t="inlineStr">
        <x:is>
          <x:t xml:space="preserve">Fintech/company</x:t>
        </x:is>
      </x:c>
      <x:c r="D44" s="6" t="inlineStr">
        <x:is>
          <x:t xml:space="preserve">Nigeria</x:t>
        </x:is>
      </x:c>
      <x:c r="E44" s="6" t="inlineStr">
        <x:is>
          <x:t xml:space="preserve">Cowrywise</x:t>
        </x:is>
      </x:c>
      <x:c r="F44" s="6" t="inlineStr">
        <x:is>
          <x:t xml:space="preserve"/>
        </x:is>
      </x:c>
      <x:c r="G44" s="6" t="inlineStr">
        <x:is>
          <x:t xml:space="preserve">https://cowrywise.com/</x:t>
        </x:is>
      </x:c>
      <x:c r="H44" s="6" t="inlineStr">
        <x:is>
          <x:t xml:space="preserve">Corporate wellness/community angle; only pursue through warm intro.</x:t>
        </x:is>
      </x:c>
      <x:c r="I44" s="6" t="n"/>
      <x:c r="J44" s="6" t="inlineStr">
        <x:is>
          <x:t xml:space="preserve">Corporate Intro</x:t>
        </x:is>
      </x:c>
      <x:c r="K44" s="6" t="inlineStr">
        <x:is>
          <x:t xml:space="preserve">Not Contacted</x:t>
        </x:is>
      </x:c>
      <x:c r="L44" s="6" t="n">
        <x:v>500</x:v>
      </x:c>
      <x:c r="M44" s="6" t="n">
        <x:v>0.05</x:v>
      </x:c>
      <x:c r="N44" s="6" t="n">
        <x:f>L44*M44</x:f>
        <x:v>25</x:v>
      </x:c>
      <x:c r="O44" s="6" t="inlineStr">
        <x:is>
          <x:t xml:space="preserve">Find warm intro first.</x:t>
        </x:is>
      </x:c>
      <x:c r="P44" s="12" t="n">
        <x:v>46215</x:v>
      </x:c>
      <x:c r="Q44" s="6" t="n"/>
      <x:c r="R44" s="6" t="inlineStr">
        <x:is>
          <x:t xml:space="preserve">Starter seed. Verify contact before sending.</x:t>
        </x:is>
      </x:c>
    </x:row>
    <x:row r="45">
      <x:c r="A45" s="4" t="inlineStr">
        <x:is>
          <x:t xml:space="preserve"/>
        </x:is>
      </x:c>
      <x:c r="B45" s="4" t="n"/>
      <x:c r="C45" s="4" t="n"/>
      <x:c r="D45" s="4" t="n"/>
      <x:c r="E45" s="4" t="n"/>
      <x:c r="F45" s="4" t="n"/>
      <x:c r="G45" s="4" t="n"/>
      <x:c r="H45" s="4" t="n"/>
      <x:c r="I45" s="4" t="n"/>
      <x:c r="J45" s="4" t="n"/>
      <x:c r="K45" s="4" t="n"/>
      <x:c r="L45" s="4" t="n"/>
      <x:c r="M45" s="4" t="n"/>
      <x:c r="N45" s="4" t="n">
        <x:f>L45*M45</x:f>
        <x:v>0</x:v>
      </x:c>
      <x:c r="O45" s="4" t="n"/>
      <x:c r="P45" s="4" t="n"/>
      <x:c r="Q45" s="4" t="n"/>
      <x:c r="R45" s="4" t="n"/>
    </x:row>
    <x:row r="46">
      <x:c r="A46" s="6" t="inlineStr">
        <x:is>
          <x:t xml:space="preserve"/>
        </x:is>
      </x:c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>
        <x:f>L46*M46</x:f>
        <x:v>0</x:v>
      </x:c>
      <x:c r="O46" s="6" t="n"/>
      <x:c r="P46" s="6" t="n"/>
      <x:c r="Q46" s="6" t="n"/>
      <x:c r="R46" s="6" t="n"/>
    </x:row>
    <x:row r="47">
      <x:c r="A47" s="4" t="inlineStr">
        <x:is>
          <x:t xml:space="preserve"/>
        </x:is>
      </x:c>
      <x:c r="B47" s="4" t="n"/>
      <x:c r="C47" s="4" t="n"/>
      <x:c r="D47" s="4" t="n"/>
      <x:c r="E47" s="4" t="n"/>
      <x:c r="F47" s="4" t="n"/>
      <x:c r="G47" s="4" t="n"/>
      <x:c r="H47" s="4" t="n"/>
      <x:c r="I47" s="4" t="n"/>
      <x:c r="J47" s="4" t="n"/>
      <x:c r="K47" s="4" t="n"/>
      <x:c r="L47" s="4" t="n"/>
      <x:c r="M47" s="4" t="n"/>
      <x:c r="N47" s="4" t="n">
        <x:f>L47*M47</x:f>
        <x:v>0</x:v>
      </x:c>
      <x:c r="O47" s="4" t="n"/>
      <x:c r="P47" s="4" t="n"/>
      <x:c r="Q47" s="4" t="n"/>
      <x:c r="R47" s="4" t="n"/>
    </x:row>
    <x:row r="48">
      <x:c r="A48" s="6" t="inlineStr">
        <x:is>
          <x:t xml:space="preserve"/>
        </x:is>
      </x:c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>
        <x:f>L48*M48</x:f>
        <x:v>0</x:v>
      </x:c>
      <x:c r="O48" s="6" t="n"/>
      <x:c r="P48" s="6" t="n"/>
      <x:c r="Q48" s="6" t="n"/>
      <x:c r="R48" s="6" t="n"/>
    </x:row>
    <x:row r="49">
      <x:c r="A49" s="4" t="inlineStr">
        <x:is>
          <x:t xml:space="preserve"/>
        </x:is>
      </x:c>
      <x:c r="B49" s="4" t="n"/>
      <x:c r="C49" s="4" t="n"/>
      <x:c r="D49" s="4" t="n"/>
      <x:c r="E49" s="4" t="n"/>
      <x:c r="F49" s="4" t="n"/>
      <x:c r="G49" s="4" t="n"/>
      <x:c r="H49" s="4" t="n"/>
      <x:c r="I49" s="4" t="n"/>
      <x:c r="J49" s="4" t="n"/>
      <x:c r="K49" s="4" t="n"/>
      <x:c r="L49" s="4" t="n"/>
      <x:c r="M49" s="4" t="n"/>
      <x:c r="N49" s="4" t="n">
        <x:f>L49*M49</x:f>
        <x:v>0</x:v>
      </x:c>
      <x:c r="O49" s="4" t="n"/>
      <x:c r="P49" s="4" t="n"/>
      <x:c r="Q49" s="4" t="n"/>
      <x:c r="R49" s="4" t="n"/>
    </x:row>
    <x:row r="50">
      <x:c r="A50" s="6" t="inlineStr">
        <x:is>
          <x:t xml:space="preserve"/>
        </x:is>
      </x:c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>
        <x:f>L50*M50</x:f>
        <x:v>0</x:v>
      </x:c>
      <x:c r="O50" s="6" t="n"/>
      <x:c r="P50" s="6" t="n"/>
      <x:c r="Q50" s="6" t="n"/>
      <x:c r="R50" s="6" t="n"/>
    </x:row>
    <x:row r="51">
      <x:c r="A51" s="4" t="inlineStr">
        <x:is>
          <x:t xml:space="preserve"/>
        </x:is>
      </x:c>
      <x:c r="B51" s="4" t="n"/>
      <x:c r="C51" s="4" t="n"/>
      <x:c r="D51" s="4" t="n"/>
      <x:c r="E51" s="4" t="n"/>
      <x:c r="F51" s="4" t="n"/>
      <x:c r="G51" s="4" t="n"/>
      <x:c r="H51" s="4" t="n"/>
      <x:c r="I51" s="4" t="n"/>
      <x:c r="J51" s="4" t="n"/>
      <x:c r="K51" s="4" t="n"/>
      <x:c r="L51" s="4" t="n"/>
      <x:c r="M51" s="4" t="n"/>
      <x:c r="N51" s="4" t="n">
        <x:f>L51*M51</x:f>
        <x:v>0</x:v>
      </x:c>
      <x:c r="O51" s="4" t="n"/>
      <x:c r="P51" s="4" t="n"/>
      <x:c r="Q51" s="4" t="n"/>
      <x:c r="R51" s="4" t="n"/>
    </x:row>
    <x:row r="52">
      <x:c r="A52" s="6" t="inlineStr">
        <x:is>
          <x:t xml:space="preserve"/>
        </x:is>
      </x:c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>
        <x:f>L52*M52</x:f>
        <x:v>0</x:v>
      </x:c>
      <x:c r="O52" s="6" t="n"/>
      <x:c r="P52" s="6" t="n"/>
      <x:c r="Q52" s="6" t="n"/>
      <x:c r="R52" s="6" t="n"/>
    </x:row>
    <x:row r="53">
      <x:c r="A53" s="4" t="inlineStr">
        <x:is>
          <x:t xml:space="preserve"/>
        </x:is>
      </x:c>
      <x:c r="B53" s="4" t="n"/>
      <x:c r="C53" s="4" t="n"/>
      <x:c r="D53" s="4" t="n"/>
      <x:c r="E53" s="4" t="n"/>
      <x:c r="F53" s="4" t="n"/>
      <x:c r="G53" s="4" t="n"/>
      <x:c r="H53" s="4" t="n"/>
      <x:c r="I53" s="4" t="n"/>
      <x:c r="J53" s="4" t="n"/>
      <x:c r="K53" s="4" t="n"/>
      <x:c r="L53" s="4" t="n"/>
      <x:c r="M53" s="4" t="n"/>
      <x:c r="N53" s="4" t="n">
        <x:f>L53*M53</x:f>
        <x:v>0</x:v>
      </x:c>
      <x:c r="O53" s="4" t="n"/>
      <x:c r="P53" s="4" t="n"/>
      <x:c r="Q53" s="4" t="n"/>
      <x:c r="R53" s="4" t="n"/>
    </x:row>
    <x:row r="54">
      <x:c r="A54" s="6" t="inlineStr">
        <x:is>
          <x:t xml:space="preserve"/>
        </x:is>
      </x:c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6" t="n"/>
      <x:c r="L54" s="6" t="n"/>
      <x:c r="M54" s="6" t="n"/>
      <x:c r="N54" s="6" t="n">
        <x:f>L54*M54</x:f>
        <x:v>0</x:v>
      </x:c>
      <x:c r="O54" s="6" t="n"/>
      <x:c r="P54" s="6" t="n"/>
      <x:c r="Q54" s="6" t="n"/>
      <x:c r="R54" s="6" t="n"/>
    </x:row>
    <x:row r="55">
      <x:c r="A55" s="4" t="inlineStr">
        <x:is>
          <x:t xml:space="preserve"/>
        </x:is>
      </x:c>
      <x:c r="B55" s="4" t="n"/>
      <x:c r="C55" s="4" t="n"/>
      <x:c r="D55" s="4" t="n"/>
      <x:c r="E55" s="4" t="n"/>
      <x:c r="F55" s="4" t="n"/>
      <x:c r="G55" s="4" t="n"/>
      <x:c r="H55" s="4" t="n"/>
      <x:c r="I55" s="4" t="n"/>
      <x:c r="J55" s="4" t="n"/>
      <x:c r="K55" s="4" t="n"/>
      <x:c r="L55" s="4" t="n"/>
      <x:c r="M55" s="4" t="n"/>
      <x:c r="N55" s="4" t="n">
        <x:f>L55*M55</x:f>
        <x:v>0</x:v>
      </x:c>
      <x:c r="O55" s="4" t="n"/>
      <x:c r="P55" s="4" t="n"/>
      <x:c r="Q55" s="4" t="n"/>
      <x:c r="R55" s="4" t="n"/>
    </x:row>
    <x:row r="56">
      <x:c r="A56" s="6" t="inlineStr">
        <x:is>
          <x:t xml:space="preserve"/>
        </x:is>
      </x:c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6" t="n"/>
      <x:c r="L56" s="6" t="n"/>
      <x:c r="M56" s="6" t="n"/>
      <x:c r="N56" s="6" t="n">
        <x:f>L56*M56</x:f>
        <x:v>0</x:v>
      </x:c>
      <x:c r="O56" s="6" t="n"/>
      <x:c r="P56" s="6" t="n"/>
      <x:c r="Q56" s="6" t="n"/>
      <x:c r="R56" s="6" t="n"/>
    </x:row>
    <x:row r="57">
      <x:c r="A57" s="4" t="inlineStr">
        <x:is>
          <x:t xml:space="preserve"/>
        </x:is>
      </x:c>
      <x:c r="B57" s="4" t="n"/>
      <x:c r="C57" s="4" t="n"/>
      <x:c r="D57" s="4" t="n"/>
      <x:c r="E57" s="4" t="n"/>
      <x:c r="F57" s="4" t="n"/>
      <x:c r="G57" s="4" t="n"/>
      <x:c r="H57" s="4" t="n"/>
      <x:c r="I57" s="4" t="n"/>
      <x:c r="J57" s="4" t="n"/>
      <x:c r="K57" s="4" t="n"/>
      <x:c r="L57" s="4" t="n"/>
      <x:c r="M57" s="4" t="n"/>
      <x:c r="N57" s="4" t="n">
        <x:f>L57*M57</x:f>
        <x:v>0</x:v>
      </x:c>
      <x:c r="O57" s="4" t="n"/>
      <x:c r="P57" s="4" t="n"/>
      <x:c r="Q57" s="4" t="n"/>
      <x:c r="R57" s="4" t="n"/>
    </x:row>
    <x:row r="58">
      <x:c r="A58" s="6" t="inlineStr">
        <x:is>
          <x:t xml:space="preserve"/>
        </x:is>
      </x:c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6" t="n"/>
      <x:c r="L58" s="6" t="n"/>
      <x:c r="M58" s="6" t="n"/>
      <x:c r="N58" s="6" t="n">
        <x:f>L58*M58</x:f>
        <x:v>0</x:v>
      </x:c>
      <x:c r="O58" s="6" t="n"/>
      <x:c r="P58" s="6" t="n"/>
      <x:c r="Q58" s="6" t="n"/>
      <x:c r="R58" s="6" t="n"/>
    </x:row>
    <x:row r="59">
      <x:c r="A59" s="4" t="inlineStr">
        <x:is>
          <x:t xml:space="preserve"/>
        </x:is>
      </x:c>
      <x:c r="B59" s="4" t="n"/>
      <x:c r="C59" s="4" t="n"/>
      <x:c r="D59" s="4" t="n"/>
      <x:c r="E59" s="4" t="n"/>
      <x:c r="F59" s="4" t="n"/>
      <x:c r="G59" s="4" t="n"/>
      <x:c r="H59" s="4" t="n"/>
      <x:c r="I59" s="4" t="n"/>
      <x:c r="J59" s="4" t="n"/>
      <x:c r="K59" s="4" t="n"/>
      <x:c r="L59" s="4" t="n"/>
      <x:c r="M59" s="4" t="n"/>
      <x:c r="N59" s="4" t="n">
        <x:f>L59*M59</x:f>
        <x:v>0</x:v>
      </x:c>
      <x:c r="O59" s="4" t="n"/>
      <x:c r="P59" s="4" t="n"/>
      <x:c r="Q59" s="4" t="n"/>
      <x:c r="R59" s="4" t="n"/>
    </x:row>
    <x:row r="60">
      <x:c r="A60" s="6" t="inlineStr">
        <x:is>
          <x:t xml:space="preserve"/>
        </x:is>
      </x:c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6" t="n"/>
      <x:c r="L60" s="6" t="n"/>
      <x:c r="M60" s="6" t="n"/>
      <x:c r="N60" s="6" t="n">
        <x:f>L60*M60</x:f>
        <x:v>0</x:v>
      </x:c>
      <x:c r="O60" s="6" t="n"/>
      <x:c r="P60" s="6" t="n"/>
      <x:c r="Q60" s="6" t="n"/>
      <x:c r="R60" s="6" t="n"/>
    </x:row>
    <x:row r="61">
      <x:c r="A61" s="4" t="inlineStr">
        <x:is>
          <x:t xml:space="preserve"/>
        </x:is>
      </x:c>
      <x:c r="B61" s="4" t="n"/>
      <x:c r="C61" s="4" t="n"/>
      <x:c r="D61" s="4" t="n"/>
      <x:c r="E61" s="4" t="n"/>
      <x:c r="F61" s="4" t="n"/>
      <x:c r="G61" s="4" t="n"/>
      <x:c r="H61" s="4" t="n"/>
      <x:c r="I61" s="4" t="n"/>
      <x:c r="J61" s="4" t="n"/>
      <x:c r="K61" s="4" t="n"/>
      <x:c r="L61" s="4" t="n"/>
      <x:c r="M61" s="4" t="n"/>
      <x:c r="N61" s="4" t="n">
        <x:f>L61*M61</x:f>
        <x:v>0</x:v>
      </x:c>
      <x:c r="O61" s="4" t="n"/>
      <x:c r="P61" s="4" t="n"/>
      <x:c r="Q61" s="4" t="n"/>
      <x:c r="R61" s="4" t="n"/>
    </x:row>
    <x:row r="62">
      <x:c r="A62" s="6" t="inlineStr">
        <x:is>
          <x:t xml:space="preserve"/>
        </x:is>
      </x:c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6" t="n"/>
      <x:c r="L62" s="6" t="n"/>
      <x:c r="M62" s="6" t="n"/>
      <x:c r="N62" s="6" t="n">
        <x:f>L62*M62</x:f>
        <x:v>0</x:v>
      </x:c>
      <x:c r="O62" s="6" t="n"/>
      <x:c r="P62" s="6" t="n"/>
      <x:c r="Q62" s="6" t="n"/>
      <x:c r="R62" s="6" t="n"/>
    </x:row>
    <x:row r="63">
      <x:c r="A63" s="4" t="inlineStr">
        <x:is>
          <x:t xml:space="preserve"/>
        </x:is>
      </x:c>
      <x:c r="B63" s="4" t="n"/>
      <x:c r="C63" s="4" t="n"/>
      <x:c r="D63" s="4" t="n"/>
      <x:c r="E63" s="4" t="n"/>
      <x:c r="F63" s="4" t="n"/>
      <x:c r="G63" s="4" t="n"/>
      <x:c r="H63" s="4" t="n"/>
      <x:c r="I63" s="4" t="n"/>
      <x:c r="J63" s="4" t="n"/>
      <x:c r="K63" s="4" t="n"/>
      <x:c r="L63" s="4" t="n"/>
      <x:c r="M63" s="4" t="n"/>
      <x:c r="N63" s="4" t="n">
        <x:f>L63*M63</x:f>
        <x:v>0</x:v>
      </x:c>
      <x:c r="O63" s="4" t="n"/>
      <x:c r="P63" s="4" t="n"/>
      <x:c r="Q63" s="4" t="n"/>
      <x:c r="R63" s="4" t="n"/>
    </x:row>
    <x:row r="64">
      <x:c r="A64" s="6" t="inlineStr">
        <x:is>
          <x:t xml:space="preserve"/>
        </x:is>
      </x:c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6" t="n"/>
      <x:c r="L64" s="6" t="n"/>
      <x:c r="M64" s="6" t="n"/>
      <x:c r="N64" s="6" t="n">
        <x:f>L64*M64</x:f>
        <x:v>0</x:v>
      </x:c>
      <x:c r="O64" s="6" t="n"/>
      <x:c r="P64" s="6" t="n"/>
      <x:c r="Q64" s="6" t="n"/>
      <x:c r="R64" s="6" t="n"/>
    </x:row>
  </x:sheetData>
  <x:mergeCells>
    <x:mergeCell ref="A2:R2"/>
    <x:mergeCell ref="A1:R1"/>
  </x:mergeCells>
  <x:dataValidations count="3">
    <x:dataValidation type="list" allowBlank="1" showDropDown="0" showInputMessage="0" showErrorMessage="0" sqref="B5:B64">
      <x:formula1>"Warm Network,Agency/Operator,Swim/Sports Niche,Corporate Wellness,StrokeLab,Other"</x:formula1>
    </x:dataValidation>
    <x:dataValidation type="list" allowBlank="1" showDropDown="0" showInputMessage="0" showErrorMessage="0" sqref="J5:J64">
      <x:formula1>"Paid Audit,Implementation Sprint,Referral Ask,Corporate Intro,Digital Product,Other"</x:formula1>
    </x:dataValidation>
    <x:dataValidation type="list" allowBlank="1" showDropDown="0" showInputMessage="0" showErrorMessage="0" sqref="K5:K64">
      <x:formula1>"Not Contacted,Messaged,Replied,Call Booked,Call Held,Proposal Sent,Paid Audit,Sprint Won,Lost,Nurture"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4" customWidth="1"/>
    <x:col min="3" max="3" width="20" customWidth="1"/>
    <x:col min="4" max="4" width="32" customWidth="1"/>
    <x:col min="5" max="5" width="22" customWidth="1"/>
    <x:col min="6" max="6" width="40" customWidth="1"/>
    <x:col min="7" max="7" width="58" customWidth="1"/>
    <x:col min="8" max="8" width="22" customWidth="1"/>
    <x:col min="9" max="9" width="12" customWidth="1"/>
    <x:col min="10" max="10" width="12" customWidth="1"/>
    <x:col min="11" max="11" width="44" customWidth="1"/>
    <x:col min="12" max="12" width="18" customWidth="1"/>
  </x:cols>
  <x:sheetData>
    <x:row r="1">
      <x:c r="A1" s="15" t="inlineStr">
        <x:is>
          <x:t xml:space="preserve">Starter 40 Prospects / Slots</x:t>
        </x:is>
      </x:c>
    </x:row>
    <x:row r="2">
      <x:c r="A2" s="16" t="str">
        <x:v>This is a seed list, not a ready-to-message list. Qualify swim/sports rows in the Swim Research sheet before outreach; target a reachable local owner/operator, not only brand HQ.</x:v>
      </x:c>
    </x:row>
    <x:row r="4">
      <x:c r="A4" s="9" t="inlineStr">
        <x:is>
          <x:t xml:space="preserve">Track</x:t>
        </x:is>
      </x:c>
      <x:c r="B4" s="9" t="inlineStr">
        <x:is>
          <x:t xml:space="preserve">Segment</x:t>
        </x:is>
      </x:c>
      <x:c r="C4" s="9" t="inlineStr">
        <x:is>
          <x:t xml:space="preserve">Market</x:t>
        </x:is>
      </x:c>
      <x:c r="D4" s="9" t="inlineStr">
        <x:is>
          <x:t xml:space="preserve">Prospect</x:t>
        </x:is>
      </x:c>
      <x:c r="E4" s="9" t="inlineStr">
        <x:is>
          <x:t xml:space="preserve">Contact</x:t>
        </x:is>
      </x:c>
      <x:c r="F4" s="9" t="inlineStr">
        <x:is>
          <x:t xml:space="preserve">URL / LinkedIn</x:t>
        </x:is>
      </x:c>
      <x:c r="G4" s="9" t="inlineStr">
        <x:is>
          <x:t xml:space="preserve">Pain Clue</x:t>
        </x:is>
      </x:c>
      <x:c r="H4" s="9" t="inlineStr">
        <x:is>
          <x:t xml:space="preserve">Offer</x:t>
        </x:is>
      </x:c>
      <x:c r="I4" s="9" t="inlineStr">
        <x:is>
          <x:t xml:space="preserve">Amount</x:t>
        </x:is>
      </x:c>
      <x:c r="J4" s="9" t="inlineStr">
        <x:is>
          <x:t xml:space="preserve">Probability</x:t>
        </x:is>
      </x:c>
      <x:c r="K4" s="9" t="inlineStr">
        <x:is>
          <x:t xml:space="preserve">Next Action</x:t>
        </x:is>
      </x:c>
      <x:c r="L4" s="9" t="inlineStr">
        <x:is>
          <x:t xml:space="preserve">Stage</x:t>
        </x:is>
      </x:c>
    </x:row>
    <x:row r="5">
      <x:c r="A5" s="4" t="inlineStr">
        <x:is>
          <x:t xml:space="preserve">Warm Network</x:t>
        </x:is>
      </x:c>
      <x:c r="B5" s="4" t="inlineStr">
        <x:is>
          <x:t xml:space="preserve">Founder/operator contact</x:t>
        </x:is>
      </x:c>
      <x:c r="C5" s="4" t="inlineStr">
        <x:is>
          <x:t xml:space="preserve">Your network</x:t>
        </x:is>
      </x:c>
      <x:c r="D5" s="4" t="inlineStr">
        <x:is>
          <x:t xml:space="preserve">Warm Contact 1</x:t>
        </x:is>
      </x:c>
      <x:c r="E5" s="4" t="inlineStr">
        <x:is>
          <x:t xml:space="preserve"/>
        </x:is>
      </x:c>
      <x:c r="F5" s="4" t="inlineStr">
        <x:is>
          <x:t xml:space="preserve"/>
        </x:is>
      </x:c>
      <x:c r="G5" s="4" t="inlineStr">
        <x:is>
          <x:t xml:space="preserve">Knows your work or can intro you to founders/operators.</x:t>
        </x:is>
      </x:c>
      <x:c r="H5" s="4" t="inlineStr">
        <x:is>
          <x:t xml:space="preserve">Referral Ask</x:t>
        </x:is>
      </x:c>
      <x:c r="I5" s="4" t="n">
        <x:v>0</x:v>
      </x:c>
      <x:c r="J5" s="4" t="n">
        <x:v>0.2</x:v>
      </x:c>
      <x:c r="K5" s="4" t="inlineStr">
        <x:is>
          <x:t xml:space="preserve">Replace with actual name and send direct ask.</x:t>
        </x:is>
      </x:c>
      <x:c r="L5" s="4" t="inlineStr">
        <x:is>
          <x:t xml:space="preserve">Not Contacted</x:t>
        </x:is>
      </x:c>
    </x:row>
    <x:row r="6">
      <x:c r="A6" s="6" t="inlineStr">
        <x:is>
          <x:t xml:space="preserve">Warm Network</x:t>
        </x:is>
      </x:c>
      <x:c r="B6" s="6" t="inlineStr">
        <x:is>
          <x:t xml:space="preserve">Former colleague/client</x:t>
        </x:is>
      </x:c>
      <x:c r="C6" s="6" t="inlineStr">
        <x:is>
          <x:t xml:space="preserve">Your network</x:t>
        </x:is>
      </x:c>
      <x:c r="D6" s="6" t="inlineStr">
        <x:is>
          <x:t xml:space="preserve">Warm Contact 2</x:t>
        </x:is>
      </x:c>
      <x:c r="E6" s="6" t="inlineStr">
        <x:is>
          <x:t xml:space="preserve"/>
        </x:is>
      </x:c>
      <x:c r="F6" s="6" t="inlineStr">
        <x:is>
          <x:t xml:space="preserve"/>
        </x:is>
      </x:c>
      <x:c r="G6" s="6" t="inlineStr">
        <x:is>
          <x:t xml:space="preserve">Has seen your technical ability or execution.</x:t>
        </x:is>
      </x:c>
      <x:c r="H6" s="6" t="inlineStr">
        <x:is>
          <x:t xml:space="preserve">Referral Ask</x:t>
        </x:is>
      </x:c>
      <x:c r="I6" s="6" t="n">
        <x:v>0</x:v>
      </x:c>
      <x:c r="J6" s="6" t="n">
        <x:v>0.2</x:v>
      </x:c>
      <x:c r="K6" s="6" t="inlineStr">
        <x:is>
          <x:t xml:space="preserve">Replace with actual name and send direct ask.</x:t>
        </x:is>
      </x:c>
      <x:c r="L6" s="6" t="inlineStr">
        <x:is>
          <x:t xml:space="preserve">Not Contacted</x:t>
        </x:is>
      </x:c>
    </x:row>
    <x:row r="7">
      <x:c r="A7" s="4" t="inlineStr">
        <x:is>
          <x:t xml:space="preserve">Warm Network</x:t>
        </x:is>
      </x:c>
      <x:c r="B7" s="4" t="inlineStr">
        <x:is>
          <x:t xml:space="preserve">Founder friend</x:t>
        </x:is>
      </x:c>
      <x:c r="C7" s="4" t="inlineStr">
        <x:is>
          <x:t xml:space="preserve">Your network</x:t>
        </x:is>
      </x:c>
      <x:c r="D7" s="4" t="inlineStr">
        <x:is>
          <x:t xml:space="preserve">Warm Contact 3</x:t>
        </x:is>
      </x:c>
      <x:c r="E7" s="4" t="inlineStr">
        <x:is>
          <x:t xml:space="preserve"/>
        </x:is>
      </x:c>
      <x:c r="F7" s="4" t="inlineStr">
        <x:is>
          <x:t xml:space="preserve"/>
        </x:is>
      </x:c>
      <x:c r="G7" s="4" t="inlineStr">
        <x:is>
          <x:t xml:space="preserve">Can name one founder/operator with manual workflow pain.</x:t>
        </x:is>
      </x:c>
      <x:c r="H7" s="4" t="inlineStr">
        <x:is>
          <x:t xml:space="preserve">Referral Ask</x:t>
        </x:is>
      </x:c>
      <x:c r="I7" s="4" t="n">
        <x:v>0</x:v>
      </x:c>
      <x:c r="J7" s="4" t="n">
        <x:v>0.2</x:v>
      </x:c>
      <x:c r="K7" s="4" t="inlineStr">
        <x:is>
          <x:t xml:space="preserve">Replace with actual name and send direct ask.</x:t>
        </x:is>
      </x:c>
      <x:c r="L7" s="4" t="inlineStr">
        <x:is>
          <x:t xml:space="preserve">Not Contacted</x:t>
        </x:is>
      </x:c>
    </x:row>
    <x:row r="8">
      <x:c r="A8" s="6" t="inlineStr">
        <x:is>
          <x:t xml:space="preserve">Warm Network</x:t>
        </x:is>
      </x:c>
      <x:c r="B8" s="6" t="inlineStr">
        <x:is>
          <x:t xml:space="preserve">SwimBuddz member/contact</x:t>
        </x:is>
      </x:c>
      <x:c r="C8" s="6" t="inlineStr">
        <x:is>
          <x:t xml:space="preserve">Your network</x:t>
        </x:is>
      </x:c>
      <x:c r="D8" s="6" t="inlineStr">
        <x:is>
          <x:t xml:space="preserve">Warm Contact 4</x:t>
        </x:is>
      </x:c>
      <x:c r="E8" s="6" t="inlineStr">
        <x:is>
          <x:t xml:space="preserve"/>
        </x:is>
      </x:c>
      <x:c r="F8" s="6" t="inlineStr">
        <x:is>
          <x:t xml:space="preserve"/>
        </x:is>
      </x:c>
      <x:c r="G8" s="6" t="inlineStr">
        <x:is>
          <x:t xml:space="preserve">Trust path through SwimBuddz/community.</x:t>
        </x:is>
      </x:c>
      <x:c r="H8" s="6" t="inlineStr">
        <x:is>
          <x:t xml:space="preserve">Referral Ask</x:t>
        </x:is>
      </x:c>
      <x:c r="I8" s="6" t="n">
        <x:v>0</x:v>
      </x:c>
      <x:c r="J8" s="6" t="n">
        <x:v>0.15</x:v>
      </x:c>
      <x:c r="K8" s="6" t="inlineStr">
        <x:is>
          <x:t xml:space="preserve">Replace with actual name and ask for intro.</x:t>
        </x:is>
      </x:c>
      <x:c r="L8" s="6" t="inlineStr">
        <x:is>
          <x:t xml:space="preserve">Not Contacted</x:t>
        </x:is>
      </x:c>
    </x:row>
    <x:row r="9">
      <x:c r="A9" s="4" t="inlineStr">
        <x:is>
          <x:t xml:space="preserve">Warm Network</x:t>
        </x:is>
      </x:c>
      <x:c r="B9" s="4" t="inlineStr">
        <x:is>
          <x:t xml:space="preserve">Open-source/tech contact</x:t>
        </x:is>
      </x:c>
      <x:c r="C9" s="4" t="inlineStr">
        <x:is>
          <x:t xml:space="preserve">Your network</x:t>
        </x:is>
      </x:c>
      <x:c r="D9" s="4" t="inlineStr">
        <x:is>
          <x:t xml:space="preserve">Warm Contact 5</x:t>
        </x:is>
      </x:c>
      <x:c r="E9" s="4" t="inlineStr">
        <x:is>
          <x:t xml:space="preserve"/>
        </x:is>
      </x:c>
      <x:c r="F9" s="4" t="inlineStr">
        <x:is>
          <x:t xml:space="preserve"/>
        </x:is>
      </x:c>
      <x:c r="G9" s="4" t="inlineStr">
        <x:is>
          <x:t xml:space="preserve">Can refer agency/founder/operator contacts.</x:t>
        </x:is>
      </x:c>
      <x:c r="H9" s="4" t="inlineStr">
        <x:is>
          <x:t xml:space="preserve">Referral Ask</x:t>
        </x:is>
      </x:c>
      <x:c r="I9" s="4" t="n">
        <x:v>0</x:v>
      </x:c>
      <x:c r="J9" s="4" t="n">
        <x:v>0.15</x:v>
      </x:c>
      <x:c r="K9" s="4" t="inlineStr">
        <x:is>
          <x:t xml:space="preserve">Replace with actual name and ask for intro.</x:t>
        </x:is>
      </x:c>
      <x:c r="L9" s="4" t="inlineStr">
        <x:is>
          <x:t xml:space="preserve">Not Contacted</x:t>
        </x:is>
      </x:c>
    </x:row>
    <x:row r="10">
      <x:c r="A10" s="6" t="inlineStr">
        <x:is>
          <x:t xml:space="preserve">Warm Network</x:t>
        </x:is>
      </x:c>
      <x:c r="B10" s="6" t="inlineStr">
        <x:is>
          <x:t xml:space="preserve">Previous school/Unilag contact</x:t>
        </x:is>
      </x:c>
      <x:c r="C10" s="6" t="inlineStr">
        <x:is>
          <x:t xml:space="preserve">Your network</x:t>
        </x:is>
      </x:c>
      <x:c r="D10" s="6" t="inlineStr">
        <x:is>
          <x:t xml:space="preserve">Warm Contact 6</x:t>
        </x:is>
      </x:c>
      <x:c r="E10" s="6" t="inlineStr">
        <x:is>
          <x:t xml:space="preserve"/>
        </x:is>
      </x:c>
      <x:c r="F10" s="6" t="inlineStr">
        <x:is>
          <x:t xml:space="preserve"/>
        </x:is>
      </x:c>
      <x:c r="G10" s="6" t="inlineStr">
        <x:is>
          <x:t xml:space="preserve">AI/ML credibility path.</x:t>
        </x:is>
      </x:c>
      <x:c r="H10" s="6" t="inlineStr">
        <x:is>
          <x:t xml:space="preserve">Referral Ask</x:t>
        </x:is>
      </x:c>
      <x:c r="I10" s="6" t="n">
        <x:v>0</x:v>
      </x:c>
      <x:c r="J10" s="6" t="n">
        <x:v>0.15</x:v>
      </x:c>
      <x:c r="K10" s="6" t="inlineStr">
        <x:is>
          <x:t xml:space="preserve">Replace with actual name and ask for intro.</x:t>
        </x:is>
      </x:c>
      <x:c r="L10" s="6" t="inlineStr">
        <x:is>
          <x:t xml:space="preserve">Not Contacted</x:t>
        </x:is>
      </x:c>
    </x:row>
    <x:row r="11">
      <x:c r="A11" s="4" t="inlineStr">
        <x:is>
          <x:t xml:space="preserve">Warm Network</x:t>
        </x:is>
      </x:c>
      <x:c r="B11" s="4" t="inlineStr">
        <x:is>
          <x:t xml:space="preserve">Rolf/expert path</x:t>
        </x:is>
      </x:c>
      <x:c r="C11" s="4" t="inlineStr">
        <x:is>
          <x:t xml:space="preserve">Your network</x:t>
        </x:is>
      </x:c>
      <x:c r="D11" s="4" t="inlineStr">
        <x:is>
          <x:t xml:space="preserve">Warm Contact 7</x:t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Can advise or introduce higher-quality buyers.</x:t>
        </x:is>
      </x:c>
      <x:c r="H11" s="4" t="inlineStr">
        <x:is>
          <x:t xml:space="preserve">Referral Ask</x:t>
        </x:is>
      </x:c>
      <x:c r="I11" s="4" t="n">
        <x:v>0</x:v>
      </x:c>
      <x:c r="J11" s="4" t="n">
        <x:v>0.15</x:v>
      </x:c>
      <x:c r="K11" s="4" t="inlineStr">
        <x:is>
          <x:t xml:space="preserve">Replace with actual name and ask for intro.</x:t>
        </x:is>
      </x:c>
      <x:c r="L11" s="4" t="inlineStr">
        <x:is>
          <x:t xml:space="preserve">Not Contacted</x:t>
        </x:is>
      </x:c>
    </x:row>
    <x:row r="12">
      <x:c r="A12" s="6" t="inlineStr">
        <x:is>
          <x:t xml:space="preserve">Warm Network</x:t>
        </x:is>
      </x:c>
      <x:c r="B12" s="6" t="inlineStr">
        <x:is>
          <x:t xml:space="preserve">Community founder</x:t>
        </x:is>
      </x:c>
      <x:c r="C12" s="6" t="inlineStr">
        <x:is>
          <x:t xml:space="preserve">Your network</x:t>
        </x:is>
      </x:c>
      <x:c r="D12" s="6" t="inlineStr">
        <x:is>
          <x:t xml:space="preserve">Warm Contact 8</x:t>
        </x:is>
      </x:c>
      <x:c r="E12" s="6" t="inlineStr">
        <x:is>
          <x:t xml:space="preserve"/>
        </x:is>
      </x:c>
      <x:c r="F12" s="6" t="inlineStr">
        <x:is>
          <x:t xml:space="preserve"/>
        </x:is>
      </x:c>
      <x:c r="G12" s="6" t="inlineStr">
        <x:is>
          <x:t xml:space="preserve">Likely knows people running small operations.</x:t>
        </x:is>
      </x:c>
      <x:c r="H12" s="6" t="inlineStr">
        <x:is>
          <x:t xml:space="preserve">Referral Ask</x:t>
        </x:is>
      </x:c>
      <x:c r="I12" s="6" t="n">
        <x:v>0</x:v>
      </x:c>
      <x:c r="J12" s="6" t="n">
        <x:v>0.15</x:v>
      </x:c>
      <x:c r="K12" s="6" t="inlineStr">
        <x:is>
          <x:t xml:space="preserve">Replace with actual name and ask for intro.</x:t>
        </x:is>
      </x:c>
      <x:c r="L12" s="6" t="inlineStr">
        <x:is>
          <x:t xml:space="preserve">Not Contacted</x:t>
        </x:is>
      </x:c>
    </x:row>
    <x:row r="13">
      <x:c r="A13" s="4" t="inlineStr">
        <x:is>
          <x:t xml:space="preserve">Warm Network</x:t>
        </x:is>
      </x:c>
      <x:c r="B13" s="4" t="inlineStr">
        <x:is>
          <x:t xml:space="preserve">Past project stakeholder</x:t>
        </x:is>
      </x:c>
      <x:c r="C13" s="4" t="inlineStr">
        <x:is>
          <x:t xml:space="preserve">Your network</x:t>
        </x:is>
      </x:c>
      <x:c r="D13" s="4" t="inlineStr">
        <x:is>
          <x:t xml:space="preserve">Warm Contact 9</x:t>
        </x:is>
      </x:c>
      <x:c r="E13" s="4" t="inlineStr">
        <x:is>
          <x:t xml:space="preserve"/>
        </x:is>
      </x:c>
      <x:c r="F13" s="4" t="inlineStr">
        <x:is>
          <x:t xml:space="preserve"/>
        </x:is>
      </x:c>
      <x:c r="G13" s="4" t="inlineStr">
        <x:is>
          <x:t xml:space="preserve">Can validate backend/automation execution.</x:t>
        </x:is>
      </x:c>
      <x:c r="H13" s="4" t="inlineStr">
        <x:is>
          <x:t xml:space="preserve">Referral Ask</x:t>
        </x:is>
      </x:c>
      <x:c r="I13" s="4" t="n">
        <x:v>0</x:v>
      </x:c>
      <x:c r="J13" s="4" t="n">
        <x:v>0.15</x:v>
      </x:c>
      <x:c r="K13" s="4" t="inlineStr">
        <x:is>
          <x:t xml:space="preserve">Replace with actual name and ask for intro.</x:t>
        </x:is>
      </x:c>
      <x:c r="L13" s="4" t="inlineStr">
        <x:is>
          <x:t xml:space="preserve">Not Contacted</x:t>
        </x:is>
      </x:c>
    </x:row>
    <x:row r="14">
      <x:c r="A14" s="6" t="inlineStr">
        <x:is>
          <x:t xml:space="preserve">Warm Network</x:t>
        </x:is>
      </x:c>
      <x:c r="B14" s="6" t="inlineStr">
        <x:is>
          <x:t xml:space="preserve">Trusted friend with founder network</x:t>
        </x:is>
      </x:c>
      <x:c r="C14" s="6" t="inlineStr">
        <x:is>
          <x:t xml:space="preserve">Your network</x:t>
        </x:is>
      </x:c>
      <x:c r="D14" s="6" t="inlineStr">
        <x:is>
          <x:t xml:space="preserve">Warm Contact 10</x:t>
        </x:is>
      </x:c>
      <x:c r="E14" s="6" t="inlineStr">
        <x:is>
          <x:t xml:space="preserve"/>
        </x:is>
      </x:c>
      <x:c r="F14" s="6" t="inlineStr">
        <x:is>
          <x:t xml:space="preserve"/>
        </x:is>
      </x:c>
      <x:c r="G14" s="6" t="inlineStr">
        <x:is>
          <x:t xml:space="preserve">Can connect you quickly without cold trust problem.</x:t>
        </x:is>
      </x:c>
      <x:c r="H14" s="6" t="inlineStr">
        <x:is>
          <x:t xml:space="preserve">Referral Ask</x:t>
        </x:is>
      </x:c>
      <x:c r="I14" s="6" t="n">
        <x:v>0</x:v>
      </x:c>
      <x:c r="J14" s="6" t="n">
        <x:v>0.15</x:v>
      </x:c>
      <x:c r="K14" s="6" t="inlineStr">
        <x:is>
          <x:t xml:space="preserve">Replace with actual name and ask for intro.</x:t>
        </x:is>
      </x:c>
      <x:c r="L14" s="6" t="inlineStr">
        <x:is>
          <x:t xml:space="preserve">Not Contacted</x:t>
        </x:is>
      </x:c>
    </x:row>
    <x:row r="15">
      <x:c r="A15" s="4" t="inlineStr">
        <x:is>
          <x:t xml:space="preserve">Swim/Sports Niche</x:t>
        </x:is>
      </x:c>
      <x:c r="B15" s="4" t="inlineStr">
        <x:is>
          <x:t xml:space="preserve">Swim school</x:t>
        </x:is>
      </x:c>
      <x:c r="C15" s="4" t="inlineStr">
        <x:is>
          <x:t xml:space="preserve">US</x:t>
        </x:is>
      </x:c>
      <x:c r="D15" s="4" t="inlineStr">
        <x:is>
          <x:t xml:space="preserve">Goldfish Swim School</x:t>
        </x:is>
      </x:c>
      <x:c r="E15" s="4" t="inlineStr">
        <x:is>
          <x:t xml:space="preserve"/>
        </x:is>
      </x:c>
      <x:c r="F15" s="4" t="inlineStr">
        <x:is>
          <x:t xml:space="preserve">https://goldfishswimschool.com/</x:t>
        </x:is>
      </x:c>
      <x:c r="G15" s="4" t="inlineStr">
        <x:is>
          <x:t xml:space="preserve">Assessment, registration portal, class levels, multiple locations, make-up lessons.</x:t>
        </x:is>
      </x:c>
      <x:c r="H15" s="4" t="inlineStr">
        <x:is>
          <x:t xml:space="preserve">Paid Audit</x:t>
        </x:is>
      </x:c>
      <x:c r="I15" s="4" t="n">
        <x:v>400</x:v>
      </x:c>
      <x:c r="J15" s="4" t="n">
        <x:v>0.1</x:v>
      </x:c>
      <x:c r="K15" s="4" t="inlineStr">
        <x:is>
          <x:t xml:space="preserve">Target a local franchise owner/operator, not only HQ.</x:t>
        </x:is>
      </x:c>
      <x:c r="L15" s="4" t="inlineStr">
        <x:is>
          <x:t xml:space="preserve">Not Contacted</x:t>
        </x:is>
      </x:c>
    </x:row>
    <x:row r="16">
      <x:c r="A16" s="6" t="inlineStr">
        <x:is>
          <x:t xml:space="preserve">Swim/Sports Niche</x:t>
        </x:is>
      </x:c>
      <x:c r="B16" s="6" t="inlineStr">
        <x:is>
          <x:t xml:space="preserve">Swim school</x:t>
        </x:is>
      </x:c>
      <x:c r="C16" s="6" t="inlineStr">
        <x:is>
          <x:t xml:space="preserve">US</x:t>
        </x:is>
      </x:c>
      <x:c r="D16" s="6" t="inlineStr">
        <x:is>
          <x:t xml:space="preserve">British Swim School</x:t>
        </x:is>
      </x:c>
      <x:c r="E16" s="6" t="inlineStr">
        <x:is>
          <x:t xml:space="preserve"/>
        </x:is>
      </x:c>
      <x:c r="F16" s="6" t="inlineStr">
        <x:is>
          <x:t xml:space="preserve">https://britishswimschool.com/</x:t>
        </x:is>
      </x:c>
      <x:c r="G16" s="6" t="inlineStr">
        <x:is>
          <x:t xml:space="preserve">Location finder, swim assessment, programs for children/adults/adaptive aquatics.</x:t>
        </x:is>
      </x:c>
      <x:c r="H16" s="6" t="inlineStr">
        <x:is>
          <x:t xml:space="preserve">Paid Audit</x:t>
        </x:is>
      </x:c>
      <x:c r="I16" s="6" t="n">
        <x:v>400</x:v>
      </x:c>
      <x:c r="J16" s="6" t="n">
        <x:v>0.1</x:v>
      </x:c>
      <x:c r="K16" s="6" t="inlineStr">
        <x:is>
          <x:t xml:space="preserve">Target a local owner/operator.</x:t>
        </x:is>
      </x:c>
      <x:c r="L16" s="6" t="inlineStr">
        <x:is>
          <x:t xml:space="preserve">Not Contacted</x:t>
        </x:is>
      </x:c>
    </x:row>
    <x:row r="17">
      <x:c r="A17" s="4" t="inlineStr">
        <x:is>
          <x:t xml:space="preserve">Swim/Sports Niche</x:t>
        </x:is>
      </x:c>
      <x:c r="B17" s="4" t="inlineStr">
        <x:is>
          <x:t xml:space="preserve">Swim school</x:t>
        </x:is>
      </x:c>
      <x:c r="C17" s="4" t="inlineStr">
        <x:is>
          <x:t xml:space="preserve">US</x:t>
        </x:is>
      </x:c>
      <x:c r="D17" s="4" t="inlineStr">
        <x:is>
          <x:t xml:space="preserve">Aqua-Tots Swim Schools</x:t>
        </x:is>
      </x:c>
      <x:c r="E17" s="4" t="inlineStr">
        <x:is>
          <x:t xml:space="preserve"/>
        </x:is>
      </x:c>
      <x:c r="F17" s="4" t="inlineStr">
        <x:is>
          <x:t xml:space="preserve">https://www.aqua-tots.com/</x:t>
        </x:is>
      </x:c>
      <x:c r="G17" s="4" t="inlineStr">
        <x:is>
          <x:t xml:space="preserve">Enrollment, levels, franchise locations, likely parent follow-up workflow.</x:t>
        </x:is>
      </x:c>
      <x:c r="H17" s="4" t="inlineStr">
        <x:is>
          <x:t xml:space="preserve">Paid Audit</x:t>
        </x:is>
      </x:c>
      <x:c r="I17" s="4" t="n">
        <x:v>400</x:v>
      </x:c>
      <x:c r="J17" s="4" t="n">
        <x:v>0.1</x:v>
      </x:c>
      <x:c r="K17" s="4" t="inlineStr">
        <x:is>
          <x:t xml:space="preserve">Target regional/franchise operator.</x:t>
        </x:is>
      </x:c>
      <x:c r="L17" s="4" t="inlineStr">
        <x:is>
          <x:t xml:space="preserve">Not Contacted</x:t>
        </x:is>
      </x:c>
    </x:row>
    <x:row r="18">
      <x:c r="A18" s="6" t="inlineStr">
        <x:is>
          <x:t xml:space="preserve">Swim/Sports Niche</x:t>
        </x:is>
      </x:c>
      <x:c r="B18" s="6" t="inlineStr">
        <x:is>
          <x:t xml:space="preserve">Swim school</x:t>
        </x:is>
      </x:c>
      <x:c r="C18" s="6" t="inlineStr">
        <x:is>
          <x:t xml:space="preserve">US</x:t>
        </x:is>
      </x:c>
      <x:c r="D18" s="6" t="inlineStr">
        <x:is>
          <x:t xml:space="preserve">SafeSplash Swim School</x:t>
        </x:is>
      </x:c>
      <x:c r="E18" s="6" t="inlineStr">
        <x:is>
          <x:t xml:space="preserve"/>
        </x:is>
      </x:c>
      <x:c r="F18" s="6" t="inlineStr">
        <x:is>
          <x:t xml:space="preserve">https://www.safesplash.com/</x:t>
        </x:is>
      </x:c>
      <x:c r="G18" s="6" t="inlineStr">
        <x:is>
          <x:t xml:space="preserve">Kids/adult lessons, locations, booking/enrollment flow.</x:t>
        </x:is>
      </x:c>
      <x:c r="H18" s="6" t="inlineStr">
        <x:is>
          <x:t xml:space="preserve">Paid Audit</x:t>
        </x:is>
      </x:c>
      <x:c r="I18" s="6" t="n">
        <x:v>400</x:v>
      </x:c>
      <x:c r="J18" s="6" t="n">
        <x:v>0.1</x:v>
      </x:c>
      <x:c r="K18" s="6" t="inlineStr">
        <x:is>
          <x:t xml:space="preserve">Target location-level operator.</x:t>
        </x:is>
      </x:c>
      <x:c r="L18" s="6" t="inlineStr">
        <x:is>
          <x:t xml:space="preserve">Not Contacted</x:t>
        </x:is>
      </x:c>
    </x:row>
    <x:row r="19">
      <x:c r="A19" s="4" t="inlineStr">
        <x:is>
          <x:t xml:space="preserve">Swim/Sports Niche</x:t>
        </x:is>
      </x:c>
      <x:c r="B19" s="4" t="inlineStr">
        <x:is>
          <x:t xml:space="preserve">Swim school</x:t>
        </x:is>
      </x:c>
      <x:c r="C19" s="4" t="inlineStr">
        <x:is>
          <x:t xml:space="preserve">US</x:t>
        </x:is>
      </x:c>
      <x:c r="D19" s="4" t="inlineStr">
        <x:is>
          <x:t xml:space="preserve">Big Blue Swim School</x:t>
        </x:is>
      </x:c>
      <x:c r="E19" s="4" t="inlineStr">
        <x:is>
          <x:t xml:space="preserve"/>
        </x:is>
      </x:c>
      <x:c r="F19" s="4" t="inlineStr">
        <x:is>
          <x:t xml:space="preserve">https://bigblueswimschool.com/</x:t>
        </x:is>
      </x:c>
      <x:c r="G19" s="4" t="inlineStr">
        <x:is>
          <x:t xml:space="preserve">Class enrollment, parent-facing scheduling, multi-location operation.</x:t>
        </x:is>
      </x:c>
      <x:c r="H19" s="4" t="inlineStr">
        <x:is>
          <x:t xml:space="preserve">Paid Audit</x:t>
        </x:is>
      </x:c>
      <x:c r="I19" s="4" t="n">
        <x:v>400</x:v>
      </x:c>
      <x:c r="J19" s="4" t="n">
        <x:v>0.08</x:v>
      </x:c>
      <x:c r="K19" s="4" t="inlineStr">
        <x:is>
          <x:t xml:space="preserve">Likely has mature systems; use as research or local franchise target.</x:t>
        </x:is>
      </x:c>
      <x:c r="L19" s="4" t="inlineStr">
        <x:is>
          <x:t xml:space="preserve">Not Contacted</x:t>
        </x:is>
      </x:c>
    </x:row>
    <x:row r="20">
      <x:c r="A20" s="6" t="inlineStr">
        <x:is>
          <x:t xml:space="preserve">Swim/Sports Niche</x:t>
        </x:is>
      </x:c>
      <x:c r="B20" s="6" t="inlineStr">
        <x:is>
          <x:t xml:space="preserve">Swim school</x:t>
        </x:is>
      </x:c>
      <x:c r="C20" s="6" t="inlineStr">
        <x:is>
          <x:t xml:space="preserve">US</x:t>
        </x:is>
      </x:c>
      <x:c r="D20" s="6" t="inlineStr">
        <x:is>
          <x:t xml:space="preserve">Emler Swim School</x:t>
        </x:is>
      </x:c>
      <x:c r="E20" s="6" t="inlineStr">
        <x:is>
          <x:t xml:space="preserve"/>
        </x:is>
      </x:c>
      <x:c r="F20" s="6" t="inlineStr">
        <x:is>
          <x:t xml:space="preserve">https://emlerswimschool.com/</x:t>
        </x:is>
      </x:c>
      <x:c r="G20" s="6" t="inlineStr">
        <x:is>
          <x:t xml:space="preserve">Class levels, enrollment, parent/student progression.</x:t>
        </x:is>
      </x:c>
      <x:c r="H20" s="6" t="inlineStr">
        <x:is>
          <x:t xml:space="preserve">Paid Audit</x:t>
        </x:is>
      </x:c>
      <x:c r="I20" s="6" t="n">
        <x:v>400</x:v>
      </x:c>
      <x:c r="J20" s="6" t="n">
        <x:v>0.08</x:v>
      </x:c>
      <x:c r="K20" s="6" t="inlineStr">
        <x:is>
          <x:t xml:space="preserve">Look for individual location decision maker.</x:t>
        </x:is>
      </x:c>
      <x:c r="L20" s="6" t="inlineStr">
        <x:is>
          <x:t xml:space="preserve">Not Contacted</x:t>
        </x:is>
      </x:c>
    </x:row>
    <x:row r="21">
      <x:c r="A21" s="4" t="inlineStr">
        <x:is>
          <x:t xml:space="preserve">Swim/Sports Niche</x:t>
        </x:is>
      </x:c>
      <x:c r="B21" s="4" t="inlineStr">
        <x:is>
          <x:t xml:space="preserve">Swim school</x:t>
        </x:is>
      </x:c>
      <x:c r="C21" s="4" t="inlineStr">
        <x:is>
          <x:t xml:space="preserve">US</x:t>
        </x:is>
      </x:c>
      <x:c r="D21" s="4" t="inlineStr">
        <x:is>
          <x:t xml:space="preserve">Foss Swim School</x:t>
        </x:is>
      </x:c>
      <x:c r="E21" s="4" t="inlineStr">
        <x:is>
          <x:t xml:space="preserve"/>
        </x:is>
      </x:c>
      <x:c r="F21" s="4" t="inlineStr">
        <x:is>
          <x:t xml:space="preserve">https://www.fossswimschool.com/</x:t>
        </x:is>
      </x:c>
      <x:c r="G21" s="4" t="inlineStr">
        <x:is>
          <x:t xml:space="preserve">Enrollment, class levels, multi-location operations.</x:t>
        </x:is>
      </x:c>
      <x:c r="H21" s="4" t="inlineStr">
        <x:is>
          <x:t xml:space="preserve">Paid Audit</x:t>
        </x:is>
      </x:c>
      <x:c r="I21" s="4" t="n">
        <x:v>400</x:v>
      </x:c>
      <x:c r="J21" s="4" t="n">
        <x:v>0.08</x:v>
      </x:c>
      <x:c r="K21" s="4" t="inlineStr">
        <x:is>
          <x:t xml:space="preserve">Research local operator before messaging.</x:t>
        </x:is>
      </x:c>
      <x:c r="L21" s="4" t="inlineStr">
        <x:is>
          <x:t xml:space="preserve">Not Contacted</x:t>
        </x:is>
      </x:c>
    </x:row>
    <x:row r="22">
      <x:c r="A22" s="6" t="inlineStr">
        <x:is>
          <x:t xml:space="preserve">Swim/Sports Niche</x:t>
        </x:is>
      </x:c>
      <x:c r="B22" s="6" t="inlineStr">
        <x:is>
          <x:t xml:space="preserve">Swim school</x:t>
        </x:is>
      </x:c>
      <x:c r="C22" s="6" t="inlineStr">
        <x:is>
          <x:t xml:space="preserve">US</x:t>
        </x:is>
      </x:c>
      <x:c r="D22" s="6" t="inlineStr">
        <x:is>
          <x:t xml:space="preserve">Bear Paddle Swim School</x:t>
        </x:is>
      </x:c>
      <x:c r="E22" s="6" t="inlineStr">
        <x:is>
          <x:t xml:space="preserve"/>
        </x:is>
      </x:c>
      <x:c r="F22" s="6" t="inlineStr">
        <x:is>
          <x:t xml:space="preserve">https://bearpaddle.com/</x:t>
        </x:is>
      </x:c>
      <x:c r="G22" s="6" t="inlineStr">
        <x:is>
          <x:t xml:space="preserve">Lesson enrollment and progression flow.</x:t>
        </x:is>
      </x:c>
      <x:c r="H22" s="6" t="inlineStr">
        <x:is>
          <x:t xml:space="preserve">Paid Audit</x:t>
        </x:is>
      </x:c>
      <x:c r="I22" s="6" t="n">
        <x:v>400</x:v>
      </x:c>
      <x:c r="J22" s="6" t="n">
        <x:v>0.08</x:v>
      </x:c>
      <x:c r="K22" s="6" t="inlineStr">
        <x:is>
          <x:t xml:space="preserve">Research local/franchise contact.</x:t>
        </x:is>
      </x:c>
      <x:c r="L22" s="6" t="inlineStr">
        <x:is>
          <x:t xml:space="preserve">Not Contacted</x:t>
        </x:is>
      </x:c>
    </x:row>
    <x:row r="23">
      <x:c r="A23" s="4" t="inlineStr">
        <x:is>
          <x:t xml:space="preserve">Swim/Sports Niche</x:t>
        </x:is>
      </x:c>
      <x:c r="B23" s="4" t="inlineStr">
        <x:is>
          <x:t xml:space="preserve">Private swim lessons</x:t>
        </x:is>
      </x:c>
      <x:c r="C23" s="4" t="inlineStr">
        <x:is>
          <x:t xml:space="preserve">US/Canada</x:t>
        </x:is>
      </x:c>
      <x:c r="D23" s="4" t="inlineStr">
        <x:is>
          <x:t xml:space="preserve">Sunsational Swim School</x:t>
        </x:is>
      </x:c>
      <x:c r="E23" s="4" t="inlineStr">
        <x:is>
          <x:t xml:space="preserve"/>
        </x:is>
      </x:c>
      <x:c r="F23" s="4" t="inlineStr">
        <x:is>
          <x:t xml:space="preserve">https://www.sunsationalswimschool.com/</x:t>
        </x:is>
      </x:c>
      <x:c r="G23" s="4" t="inlineStr">
        <x:is>
          <x:t xml:space="preserve">Private lesson inquiry, matching, scheduling, instructor/customer coordination.</x:t>
        </x:is>
      </x:c>
      <x:c r="H23" s="4" t="inlineStr">
        <x:is>
          <x:t xml:space="preserve">Paid Audit</x:t>
        </x:is>
      </x:c>
      <x:c r="I23" s="4" t="n">
        <x:v>400</x:v>
      </x:c>
      <x:c r="J23" s="4" t="n">
        <x:v>0.1</x:v>
      </x:c>
      <x:c r="K23" s="4" t="inlineStr">
        <x:is>
          <x:t xml:space="preserve">Lead matching workflow may be a strong angle.</x:t>
        </x:is>
      </x:c>
      <x:c r="L23" s="4" t="inlineStr">
        <x:is>
          <x:t xml:space="preserve">Not Contacted</x:t>
        </x:is>
      </x:c>
    </x:row>
    <x:row r="24">
      <x:c r="A24" s="6" t="inlineStr">
        <x:is>
          <x:t xml:space="preserve">Swim/Sports Niche</x:t>
        </x:is>
      </x:c>
      <x:c r="B24" s="6" t="inlineStr">
        <x:is>
          <x:t xml:space="preserve">Private swim lessons</x:t>
        </x:is>
      </x:c>
      <x:c r="C24" s="6" t="inlineStr">
        <x:is>
          <x:t xml:space="preserve">US/Canada</x:t>
        </x:is>
      </x:c>
      <x:c r="D24" s="6" t="inlineStr">
        <x:is>
          <x:t xml:space="preserve">AquaMobile Swim School</x:t>
        </x:is>
      </x:c>
      <x:c r="E24" s="6" t="inlineStr">
        <x:is>
          <x:t xml:space="preserve"/>
        </x:is>
      </x:c>
      <x:c r="F24" s="6" t="inlineStr">
        <x:is>
          <x:t xml:space="preserve">https://aquamobileswim.com/</x:t>
        </x:is>
      </x:c>
      <x:c r="G24" s="6" t="inlineStr">
        <x:is>
          <x:t xml:space="preserve">At-home lesson booking, instructor matching, payment/follow-up flow.</x:t>
        </x:is>
      </x:c>
      <x:c r="H24" s="6" t="inlineStr">
        <x:is>
          <x:t xml:space="preserve">Paid Audit</x:t>
        </x:is>
      </x:c>
      <x:c r="I24" s="6" t="n">
        <x:v>400</x:v>
      </x:c>
      <x:c r="J24" s="6" t="n">
        <x:v>0.1</x:v>
      </x:c>
      <x:c r="K24" s="6" t="inlineStr">
        <x:is>
          <x:t xml:space="preserve">Lead-to-instructor matching workflow may be relevant.</x:t>
        </x:is>
      </x:c>
      <x:c r="L24" s="6" t="inlineStr">
        <x:is>
          <x:t xml:space="preserve">Not Contacted</x:t>
        </x:is>
      </x:c>
    </x:row>
    <x:row r="25">
      <x:c r="A25" s="4" t="inlineStr">
        <x:is>
          <x:t xml:space="preserve">Swim/Sports Niche</x:t>
        </x:is>
      </x:c>
      <x:c r="B25" s="4" t="inlineStr">
        <x:is>
          <x:t xml:space="preserve">Swim analysis/coaching</x:t>
        </x:is>
      </x:c>
      <x:c r="C25" s="4" t="inlineStr">
        <x:is>
          <x:t xml:space="preserve">US</x:t>
        </x:is>
      </x:c>
      <x:c r="D25" s="4" t="inlineStr">
        <x:is>
          <x:t xml:space="preserve">SwimLabs</x:t>
        </x:is>
      </x:c>
      <x:c r="E25" s="4" t="inlineStr">
        <x:is>
          <x:t xml:space="preserve"/>
        </x:is>
      </x:c>
      <x:c r="F25" s="4" t="inlineStr">
        <x:is>
          <x:t xml:space="preserve">https://www.swimlabs.com/</x:t>
        </x:is>
      </x:c>
      <x:c r="G25" s="4" t="inlineStr">
        <x:is>
          <x:t xml:space="preserve">Video analysis, lessons, locations, assessment/booking workflow.</x:t>
        </x:is>
      </x:c>
      <x:c r="H25" s="4" t="inlineStr">
        <x:is>
          <x:t xml:space="preserve">Paid Audit</x:t>
        </x:is>
      </x:c>
      <x:c r="I25" s="4" t="n">
        <x:v>400</x:v>
      </x:c>
      <x:c r="J25" s="4" t="n">
        <x:v>0.08</x:v>
      </x:c>
      <x:c r="K25" s="4" t="inlineStr">
        <x:is>
          <x:t xml:space="preserve">Good StrokeLab proof comparison.</x:t>
        </x:is>
      </x:c>
      <x:c r="L25" s="4" t="inlineStr">
        <x:is>
          <x:t xml:space="preserve">Not Contacted</x:t>
        </x:is>
      </x:c>
    </x:row>
    <x:row r="26">
      <x:c r="A26" s="6" t="inlineStr">
        <x:is>
          <x:t xml:space="preserve">Swim/Sports Niche</x:t>
        </x:is>
      </x:c>
      <x:c r="B26" s="6" t="inlineStr">
        <x:is>
          <x:t xml:space="preserve">Swim school</x:t>
        </x:is>
      </x:c>
      <x:c r="C26" s="6" t="inlineStr">
        <x:is>
          <x:t xml:space="preserve">Australia</x:t>
        </x:is>
      </x:c>
      <x:c r="D26" s="6" t="inlineStr">
        <x:is>
          <x:t xml:space="preserve">Carlile Swimming</x:t>
        </x:is>
      </x:c>
      <x:c r="E26" s="6" t="inlineStr">
        <x:is>
          <x:t xml:space="preserve"/>
        </x:is>
      </x:c>
      <x:c r="F26" s="6" t="inlineStr">
        <x:is>
          <x:t xml:space="preserve">https://www.carlile.com.au/</x:t>
        </x:is>
      </x:c>
      <x:c r="G26" s="6" t="inlineStr">
        <x:is>
          <x:t xml:space="preserve">Learn-to-swim program, levels, enrollment, multiple centers.</x:t>
        </x:is>
      </x:c>
      <x:c r="H26" s="6" t="inlineStr">
        <x:is>
          <x:t xml:space="preserve">Paid Audit</x:t>
        </x:is>
      </x:c>
      <x:c r="I26" s="6" t="n">
        <x:v>400</x:v>
      </x:c>
      <x:c r="J26" s="6" t="n">
        <x:v>0.08</x:v>
      </x:c>
      <x:c r="K26" s="6" t="inlineStr">
        <x:is>
          <x:t xml:space="preserve">May be too mature; use as research or local contact.</x:t>
        </x:is>
      </x:c>
      <x:c r="L26" s="6" t="inlineStr">
        <x:is>
          <x:t xml:space="preserve">Not Contacted</x:t>
        </x:is>
      </x:c>
    </x:row>
    <x:row r="27">
      <x:c r="A27" s="4" t="inlineStr">
        <x:is>
          <x:t xml:space="preserve">Swim/Sports Niche</x:t>
        </x:is>
      </x:c>
      <x:c r="B27" s="4" t="inlineStr">
        <x:is>
          <x:t xml:space="preserve">Swim school</x:t>
        </x:is>
      </x:c>
      <x:c r="C27" s="4" t="inlineStr">
        <x:is>
          <x:t xml:space="preserve">Australia</x:t>
        </x:is>
      </x:c>
      <x:c r="D27" s="4" t="inlineStr">
        <x:is>
          <x:t xml:space="preserve">State Swim</x:t>
        </x:is>
      </x:c>
      <x:c r="E27" s="4" t="inlineStr">
        <x:is>
          <x:t xml:space="preserve"/>
        </x:is>
      </x:c>
      <x:c r="F27" s="4" t="inlineStr">
        <x:is>
          <x:t xml:space="preserve">https://www.stateswim.com.au/</x:t>
        </x:is>
      </x:c>
      <x:c r="G27" s="4" t="inlineStr">
        <x:is>
          <x:t xml:space="preserve">Class levels, booking/enrollment, multiple locations.</x:t>
        </x:is>
      </x:c>
      <x:c r="H27" s="4" t="inlineStr">
        <x:is>
          <x:t xml:space="preserve">Paid Audit</x:t>
        </x:is>
      </x:c>
      <x:c r="I27" s="4" t="n">
        <x:v>400</x:v>
      </x:c>
      <x:c r="J27" s="4" t="n">
        <x:v>0.08</x:v>
      </x:c>
      <x:c r="K27" s="4" t="inlineStr">
        <x:is>
          <x:t xml:space="preserve">Research franchise/location operators.</x:t>
        </x:is>
      </x:c>
      <x:c r="L27" s="4" t="inlineStr">
        <x:is>
          <x:t xml:space="preserve">Not Contacted</x:t>
        </x:is>
      </x:c>
    </x:row>
    <x:row r="28">
      <x:c r="A28" s="6" t="inlineStr">
        <x:is>
          <x:t xml:space="preserve">Swim/Sports Niche</x:t>
        </x:is>
      </x:c>
      <x:c r="B28" s="6" t="inlineStr">
        <x:is>
          <x:t xml:space="preserve">Swim school</x:t>
        </x:is>
      </x:c>
      <x:c r="C28" s="6" t="inlineStr">
        <x:is>
          <x:t xml:space="preserve">Australia</x:t>
        </x:is>
      </x:c>
      <x:c r="D28" s="6" t="inlineStr">
        <x:is>
          <x:t xml:space="preserve">JUMP! Swim Schools</x:t>
        </x:is>
      </x:c>
      <x:c r="E28" s="6" t="inlineStr">
        <x:is>
          <x:t xml:space="preserve"/>
        </x:is>
      </x:c>
      <x:c r="F28" s="6" t="inlineStr">
        <x:is>
          <x:t xml:space="preserve">https://jumpswimschools.com.au/</x:t>
        </x:is>
      </x:c>
      <x:c r="G28" s="6" t="inlineStr">
        <x:is>
          <x:t xml:space="preserve">Small-class swim school model, franchise locations, enrollment flow.</x:t>
        </x:is>
      </x:c>
      <x:c r="H28" s="6" t="inlineStr">
        <x:is>
          <x:t xml:space="preserve">Paid Audit</x:t>
        </x:is>
      </x:c>
      <x:c r="I28" s="6" t="n">
        <x:v>400</x:v>
      </x:c>
      <x:c r="J28" s="6" t="n">
        <x:v>0.08</x:v>
      </x:c>
      <x:c r="K28" s="6" t="inlineStr">
        <x:is>
          <x:t xml:space="preserve">Target local operator if contact is visible.</x:t>
        </x:is>
      </x:c>
      <x:c r="L28" s="6" t="inlineStr">
        <x:is>
          <x:t xml:space="preserve">Not Contacted</x:t>
        </x:is>
      </x:c>
    </x:row>
    <x:row r="29">
      <x:c r="A29" s="4" t="inlineStr">
        <x:is>
          <x:t xml:space="preserve">Swim/Sports Niche</x:t>
        </x:is>
      </x:c>
      <x:c r="B29" s="4" t="inlineStr">
        <x:is>
          <x:t xml:space="preserve">Swim school</x:t>
        </x:is>
      </x:c>
      <x:c r="C29" s="4" t="inlineStr">
        <x:is>
          <x:t xml:space="preserve">Australia</x:t>
        </x:is>
      </x:c>
      <x:c r="D29" s="4" t="inlineStr">
        <x:is>
          <x:t xml:space="preserve">Kingswim</x:t>
        </x:is>
      </x:c>
      <x:c r="E29" s="4" t="inlineStr">
        <x:is>
          <x:t xml:space="preserve"/>
        </x:is>
      </x:c>
      <x:c r="F29" s="4" t="inlineStr">
        <x:is>
          <x:t xml:space="preserve">https://www.kingswim.com.au/</x:t>
        </x:is>
      </x:c>
      <x:c r="G29" s="4" t="inlineStr">
        <x:is>
          <x:t xml:space="preserve">Lessons, class levels, customer booking, multi-location operations.</x:t>
        </x:is>
      </x:c>
      <x:c r="H29" s="4" t="inlineStr">
        <x:is>
          <x:t xml:space="preserve">Paid Audit</x:t>
        </x:is>
      </x:c>
      <x:c r="I29" s="4" t="n">
        <x:v>400</x:v>
      </x:c>
      <x:c r="J29" s="4" t="n">
        <x:v>0.08</x:v>
      </x:c>
      <x:c r="K29" s="4" t="inlineStr">
        <x:is>
          <x:t xml:space="preserve">Research individual center operators.</x:t>
        </x:is>
      </x:c>
      <x:c r="L29" s="4" t="inlineStr">
        <x:is>
          <x:t xml:space="preserve">Not Contacted</x:t>
        </x:is>
      </x:c>
    </x:row>
    <x:row r="30">
      <x:c r="A30" s="6" t="inlineStr">
        <x:is>
          <x:t xml:space="preserve">Agency/Operator</x:t>
        </x:is>
      </x:c>
      <x:c r="B30" s="6" t="inlineStr">
        <x:is>
          <x:t xml:space="preserve">B2B SaaS agency</x:t>
        </x:is>
      </x:c>
      <x:c r="C30" s="6" t="inlineStr">
        <x:is>
          <x:t xml:space="preserve">US/Canada</x:t>
        </x:is>
      </x:c>
      <x:c r="D30" s="6" t="inlineStr">
        <x:is>
          <x:t xml:space="preserve">Powered by Search</x:t>
        </x:is>
      </x:c>
      <x:c r="E30" s="6" t="inlineStr">
        <x:is>
          <x:t xml:space="preserve"/>
        </x:is>
      </x:c>
      <x:c r="F30" s="6" t="inlineStr">
        <x:is>
          <x:t xml:space="preserve">https://www.poweredbysearch.com/</x:t>
        </x:is>
      </x:c>
      <x:c r="G30" s="6" t="inlineStr">
        <x:is>
          <x:t xml:space="preserve">Client onboarding, reporting, campaign dashboards, recurring delivery process.</x:t>
        </x:is>
      </x:c>
      <x:c r="H30" s="6" t="inlineStr">
        <x:is>
          <x:t xml:space="preserve">Implementation Sprint</x:t>
        </x:is>
      </x:c>
      <x:c r="I30" s="6" t="n">
        <x:v>1800</x:v>
      </x:c>
      <x:c r="J30" s="6" t="n">
        <x:v>0.08</x:v>
      </x:c>
      <x:c r="K30" s="6" t="inlineStr">
        <x:is>
          <x:t xml:space="preserve">Target ops/delivery leader, not generic contact.</x:t>
        </x:is>
      </x:c>
      <x:c r="L30" s="6" t="inlineStr">
        <x:is>
          <x:t xml:space="preserve">Not Contacted</x:t>
        </x:is>
      </x:c>
    </x:row>
    <x:row r="31">
      <x:c r="A31" s="4" t="inlineStr">
        <x:is>
          <x:t xml:space="preserve">Agency/Operator</x:t>
        </x:is>
      </x:c>
      <x:c r="B31" s="4" t="inlineStr">
        <x:is>
          <x:t xml:space="preserve">Inbound agency</x:t>
        </x:is>
      </x:c>
      <x:c r="C31" s="4" t="inlineStr">
        <x:is>
          <x:t xml:space="preserve">US</x:t>
        </x:is>
      </x:c>
      <x:c r="D31" s="4" t="inlineStr">
        <x:is>
          <x:t xml:space="preserve">SmartBug Media</x:t>
        </x:is>
      </x:c>
      <x:c r="E31" s="4" t="inlineStr">
        <x:is>
          <x:t xml:space="preserve"/>
        </x:is>
      </x:c>
      <x:c r="F31" s="4" t="inlineStr">
        <x:is>
          <x:t xml:space="preserve">https://www.smartbugmedia.com/</x:t>
        </x:is>
      </x:c>
      <x:c r="G31" s="4" t="inlineStr">
        <x:is>
          <x:t xml:space="preserve">Client reporting, onboarding, HubSpot/RevOps workflows.</x:t>
        </x:is>
      </x:c>
      <x:c r="H31" s="4" t="inlineStr">
        <x:is>
          <x:t xml:space="preserve">Implementation Sprint</x:t>
        </x:is>
      </x:c>
      <x:c r="I31" s="4" t="n">
        <x:v>1800</x:v>
      </x:c>
      <x:c r="J31" s="4" t="n">
        <x:v>0.08</x:v>
      </x:c>
      <x:c r="K31" s="4" t="inlineStr">
        <x:is>
          <x:t xml:space="preserve">May already be mature; use specific workflow angle.</x:t>
        </x:is>
      </x:c>
      <x:c r="L31" s="4" t="inlineStr">
        <x:is>
          <x:t xml:space="preserve">Not Contacted</x:t>
        </x:is>
      </x:c>
    </x:row>
    <x:row r="32">
      <x:c r="A32" s="6" t="inlineStr">
        <x:is>
          <x:t xml:space="preserve">Agency/Operator</x:t>
        </x:is>
      </x:c>
      <x:c r="B32" s="6" t="inlineStr">
        <x:is>
          <x:t xml:space="preserve">Performance agency</x:t>
        </x:is>
      </x:c>
      <x:c r="C32" s="6" t="inlineStr">
        <x:is>
          <x:t xml:space="preserve">US</x:t>
        </x:is>
      </x:c>
      <x:c r="D32" s="6" t="inlineStr">
        <x:is>
          <x:t xml:space="preserve">KlientBoost</x:t>
        </x:is>
      </x:c>
      <x:c r="E32" s="6" t="inlineStr">
        <x:is>
          <x:t xml:space="preserve"/>
        </x:is>
      </x:c>
      <x:c r="F32" s="6" t="inlineStr">
        <x:is>
          <x:t xml:space="preserve">https://klientboost.com/</x:t>
        </x:is>
      </x:c>
      <x:c r="G32" s="6" t="inlineStr">
        <x:is>
          <x:t xml:space="preserve">Client reporting and recurring performance communication.</x:t>
        </x:is>
      </x:c>
      <x:c r="H32" s="6" t="inlineStr">
        <x:is>
          <x:t xml:space="preserve">Implementation Sprint</x:t>
        </x:is>
      </x:c>
      <x:c r="I32" s="6" t="n">
        <x:v>1800</x:v>
      </x:c>
      <x:c r="J32" s="6" t="n">
        <x:v>0.07000000000000001</x:v>
      </x:c>
      <x:c r="K32" s="6" t="inlineStr">
        <x:is>
          <x:t xml:space="preserve">Likely mature; prioritize if you can find ops pain.</x:t>
        </x:is>
      </x:c>
      <x:c r="L32" s="6" t="inlineStr">
        <x:is>
          <x:t xml:space="preserve">Not Contacted</x:t>
        </x:is>
      </x:c>
    </x:row>
    <x:row r="33">
      <x:c r="A33" s="4" t="inlineStr">
        <x:is>
          <x:t xml:space="preserve">Agency/Operator</x:t>
        </x:is>
      </x:c>
      <x:c r="B33" s="4" t="inlineStr">
        <x:is>
          <x:t xml:space="preserve">SaaS marketing agency</x:t>
        </x:is>
      </x:c>
      <x:c r="C33" s="4" t="inlineStr">
        <x:is>
          <x:t xml:space="preserve">US/UK</x:t>
        </x:is>
      </x:c>
      <x:c r="D33" s="4" t="inlineStr">
        <x:is>
          <x:t xml:space="preserve">Directive Consulting</x:t>
        </x:is>
      </x:c>
      <x:c r="E33" s="4" t="inlineStr">
        <x:is>
          <x:t xml:space="preserve"/>
        </x:is>
      </x:c>
      <x:c r="F33" s="4" t="inlineStr">
        <x:is>
          <x:t xml:space="preserve">https://directiveconsulting.com/</x:t>
        </x:is>
      </x:c>
      <x:c r="G33" s="4" t="inlineStr">
        <x:is>
          <x:t xml:space="preserve">SaaS client onboarding, reporting, dashboards.</x:t>
        </x:is>
      </x:c>
      <x:c r="H33" s="4" t="inlineStr">
        <x:is>
          <x:t xml:space="preserve">Implementation Sprint</x:t>
        </x:is>
      </x:c>
      <x:c r="I33" s="4" t="n">
        <x:v>1800</x:v>
      </x:c>
      <x:c r="J33" s="4" t="n">
        <x:v>0.07000000000000001</x:v>
      </x:c>
      <x:c r="K33" s="4" t="inlineStr">
        <x:is>
          <x:t xml:space="preserve">Likely mature; use as research if no contact path.</x:t>
        </x:is>
      </x:c>
      <x:c r="L33" s="4" t="inlineStr">
        <x:is>
          <x:t xml:space="preserve">Not Contacted</x:t>
        </x:is>
      </x:c>
    </x:row>
    <x:row r="34">
      <x:c r="A34" s="6" t="inlineStr">
        <x:is>
          <x:t xml:space="preserve">Agency/Operator</x:t>
        </x:is>
      </x:c>
      <x:c r="B34" s="6" t="inlineStr">
        <x:is>
          <x:t xml:space="preserve">Content agency</x:t>
        </x:is>
      </x:c>
      <x:c r="C34" s="6" t="inlineStr">
        <x:is>
          <x:t xml:space="preserve">US</x:t>
        </x:is>
      </x:c>
      <x:c r="D34" s="6" t="inlineStr">
        <x:is>
          <x:t xml:space="preserve">Siege Media</x:t>
        </x:is>
      </x:c>
      <x:c r="E34" s="6" t="inlineStr">
        <x:is>
          <x:t xml:space="preserve"/>
        </x:is>
      </x:c>
      <x:c r="F34" s="6" t="inlineStr">
        <x:is>
          <x:t xml:space="preserve">https://www.siegemedia.com/</x:t>
        </x:is>
      </x:c>
      <x:c r="G34" s="6" t="inlineStr">
        <x:is>
          <x:t xml:space="preserve">Content production workflow, client approvals, reporting.</x:t>
        </x:is>
      </x:c>
      <x:c r="H34" s="6" t="inlineStr">
        <x:is>
          <x:t xml:space="preserve">Implementation Sprint</x:t>
        </x:is>
      </x:c>
      <x:c r="I34" s="6" t="n">
        <x:v>1800</x:v>
      </x:c>
      <x:c r="J34" s="6" t="n">
        <x:v>0.08</x:v>
      </x:c>
      <x:c r="K34" s="6" t="inlineStr">
        <x:is>
          <x:t xml:space="preserve">Workflow operations may be more relevant than AI pitch.</x:t>
        </x:is>
      </x:c>
      <x:c r="L34" s="6" t="inlineStr">
        <x:is>
          <x:t xml:space="preserve">Not Contacted</x:t>
        </x:is>
      </x:c>
    </x:row>
    <x:row r="35">
      <x:c r="A35" s="4" t="inlineStr">
        <x:is>
          <x:t xml:space="preserve">Agency/Operator</x:t>
        </x:is>
      </x:c>
      <x:c r="B35" s="4" t="inlineStr">
        <x:is>
          <x:t xml:space="preserve">SEO agency</x:t>
        </x:is>
      </x:c>
      <x:c r="C35" s="4" t="inlineStr">
        <x:is>
          <x:t xml:space="preserve">US</x:t>
        </x:is>
      </x:c>
      <x:c r="D35" s="4" t="inlineStr">
        <x:is>
          <x:t xml:space="preserve">SimpleTiger</x:t>
        </x:is>
      </x:c>
      <x:c r="E35" s="4" t="inlineStr">
        <x:is>
          <x:t xml:space="preserve"/>
        </x:is>
      </x:c>
      <x:c r="F35" s="4" t="inlineStr">
        <x:is>
          <x:t xml:space="preserve">https://www.simpletiger.com/</x:t>
        </x:is>
      </x:c>
      <x:c r="G35" s="4" t="inlineStr">
        <x:is>
          <x:t xml:space="preserve">SEO deliverables, reporting, recurring client workflows.</x:t>
        </x:is>
      </x:c>
      <x:c r="H35" s="4" t="inlineStr">
        <x:is>
          <x:t xml:space="preserve">Implementation Sprint</x:t>
        </x:is>
      </x:c>
      <x:c r="I35" s="4" t="n">
        <x:v>1800</x:v>
      </x:c>
      <x:c r="J35" s="4" t="n">
        <x:v>0.08</x:v>
      </x:c>
      <x:c r="K35" s="4" t="inlineStr">
        <x:is>
          <x:t xml:space="preserve">Look for founder/ops contact.</x:t>
        </x:is>
      </x:c>
      <x:c r="L35" s="4" t="inlineStr">
        <x:is>
          <x:t xml:space="preserve">Not Contacted</x:t>
        </x:is>
      </x:c>
    </x:row>
    <x:row r="36">
      <x:c r="A36" s="6" t="inlineStr">
        <x:is>
          <x:t xml:space="preserve">Agency/Operator</x:t>
        </x:is>
      </x:c>
      <x:c r="B36" s="6" t="inlineStr">
        <x:is>
          <x:t xml:space="preserve">Growth agency</x:t>
        </x:is>
      </x:c>
      <x:c r="C36" s="6" t="inlineStr">
        <x:is>
          <x:t xml:space="preserve">US</x:t>
        </x:is>
      </x:c>
      <x:c r="D36" s="6" t="inlineStr">
        <x:is>
          <x:t xml:space="preserve">NoGood</x:t>
        </x:is>
      </x:c>
      <x:c r="E36" s="6" t="inlineStr">
        <x:is>
          <x:t xml:space="preserve"/>
        </x:is>
      </x:c>
      <x:c r="F36" s="6" t="inlineStr">
        <x:is>
          <x:t xml:space="preserve">https://nogood.io/</x:t>
        </x:is>
      </x:c>
      <x:c r="G36" s="6" t="inlineStr">
        <x:is>
          <x:t xml:space="preserve">Growth experiments, reporting, internal workflow handoffs.</x:t>
        </x:is>
      </x:c>
      <x:c r="H36" s="6" t="inlineStr">
        <x:is>
          <x:t xml:space="preserve">Implementation Sprint</x:t>
        </x:is>
      </x:c>
      <x:c r="I36" s="6" t="n">
        <x:v>1800</x:v>
      </x:c>
      <x:c r="J36" s="6" t="n">
        <x:v>0.07000000000000001</x:v>
      </x:c>
      <x:c r="K36" s="6" t="inlineStr">
        <x:is>
          <x:t xml:space="preserve">May be too sophisticated; use if specific pain clue exists.</x:t>
        </x:is>
      </x:c>
      <x:c r="L36" s="6" t="inlineStr">
        <x:is>
          <x:t xml:space="preserve">Not Contacted</x:t>
        </x:is>
      </x:c>
    </x:row>
    <x:row r="37">
      <x:c r="A37" s="4" t="inlineStr">
        <x:is>
          <x:t xml:space="preserve">Agency/Operator</x:t>
        </x:is>
      </x:c>
      <x:c r="B37" s="4" t="inlineStr">
        <x:is>
          <x:t xml:space="preserve">Growth agency</x:t>
        </x:is>
      </x:c>
      <x:c r="C37" s="4" t="inlineStr">
        <x:is>
          <x:t xml:space="preserve">US</x:t>
        </x:is>
      </x:c>
      <x:c r="D37" s="4" t="inlineStr">
        <x:is>
          <x:t xml:space="preserve">Tuff Growth</x:t>
        </x:is>
      </x:c>
      <x:c r="E37" s="4" t="inlineStr">
        <x:is>
          <x:t xml:space="preserve"/>
        </x:is>
      </x:c>
      <x:c r="F37" s="4" t="inlineStr">
        <x:is>
          <x:t xml:space="preserve">https://tuffgrowth.com/</x:t>
        </x:is>
      </x:c>
      <x:c r="G37" s="4" t="inlineStr">
        <x:is>
          <x:t xml:space="preserve">Client onboarding/reporting and marketing ops workflows.</x:t>
        </x:is>
      </x:c>
      <x:c r="H37" s="4" t="inlineStr">
        <x:is>
          <x:t xml:space="preserve">Implementation Sprint</x:t>
        </x:is>
      </x:c>
      <x:c r="I37" s="4" t="n">
        <x:v>1800</x:v>
      </x:c>
      <x:c r="J37" s="4" t="n">
        <x:v>0.08</x:v>
      </x:c>
      <x:c r="K37" s="4" t="inlineStr">
        <x:is>
          <x:t xml:space="preserve">Find founder/ops contact.</x:t>
        </x:is>
      </x:c>
      <x:c r="L37" s="4" t="inlineStr">
        <x:is>
          <x:t xml:space="preserve">Not Contacted</x:t>
        </x:is>
      </x:c>
    </x:row>
    <x:row r="38">
      <x:c r="A38" s="6" t="inlineStr">
        <x:is>
          <x:t xml:space="preserve">Agency/Operator</x:t>
        </x:is>
      </x:c>
      <x:c r="B38" s="6" t="inlineStr">
        <x:is>
          <x:t xml:space="preserve">Content agency</x:t>
        </x:is>
      </x:c>
      <x:c r="C38" s="6" t="inlineStr">
        <x:is>
          <x:t xml:space="preserve">US</x:t>
        </x:is>
      </x:c>
      <x:c r="D38" s="6" t="inlineStr">
        <x:is>
          <x:t xml:space="preserve">Grow and Convert</x:t>
        </x:is>
      </x:c>
      <x:c r="E38" s="6" t="inlineStr">
        <x:is>
          <x:t xml:space="preserve"/>
        </x:is>
      </x:c>
      <x:c r="F38" s="6" t="inlineStr">
        <x:is>
          <x:t xml:space="preserve">https://www.growandconvert.com/</x:t>
        </x:is>
      </x:c>
      <x:c r="G38" s="6" t="inlineStr">
        <x:is>
          <x:t xml:space="preserve">Content workflow, research, client reporting, handoff process.</x:t>
        </x:is>
      </x:c>
      <x:c r="H38" s="6" t="inlineStr">
        <x:is>
          <x:t xml:space="preserve">Implementation Sprint</x:t>
        </x:is>
      </x:c>
      <x:c r="I38" s="6" t="n">
        <x:v>1800</x:v>
      </x:c>
      <x:c r="J38" s="6" t="n">
        <x:v>0.08</x:v>
      </x:c>
      <x:c r="K38" s="6" t="inlineStr">
        <x:is>
          <x:t xml:space="preserve">Specific workflow observation needed.</x:t>
        </x:is>
      </x:c>
      <x:c r="L38" s="6" t="inlineStr">
        <x:is>
          <x:t xml:space="preserve">Not Contacted</x:t>
        </x:is>
      </x:c>
    </x:row>
    <x:row r="39">
      <x:c r="A39" s="4" t="inlineStr">
        <x:is>
          <x:t xml:space="preserve">Agency/Operator</x:t>
        </x:is>
      </x:c>
      <x:c r="B39" s="4" t="inlineStr">
        <x:is>
          <x:t xml:space="preserve">Content agency</x:t>
        </x:is>
      </x:c>
      <x:c r="C39" s="4" t="inlineStr">
        <x:is>
          <x:t xml:space="preserve">US</x:t>
        </x:is>
      </x:c>
      <x:c r="D39" s="4" t="inlineStr">
        <x:is>
          <x:t xml:space="preserve">Codeless</x:t>
        </x:is>
      </x:c>
      <x:c r="E39" s="4" t="inlineStr">
        <x:is>
          <x:t xml:space="preserve"/>
        </x:is>
      </x:c>
      <x:c r="F39" s="4" t="inlineStr">
        <x:is>
          <x:t xml:space="preserve">https://getcodeless.com/</x:t>
        </x:is>
      </x:c>
      <x:c r="G39" s="4" t="inlineStr">
        <x:is>
          <x:t xml:space="preserve">Content operations, approvals, recurring reporting.</x:t>
        </x:is>
      </x:c>
      <x:c r="H39" s="4" t="inlineStr">
        <x:is>
          <x:t xml:space="preserve">Implementation Sprint</x:t>
        </x:is>
      </x:c>
      <x:c r="I39" s="4" t="n">
        <x:v>1800</x:v>
      </x:c>
      <x:c r="J39" s="4" t="n">
        <x:v>0.08</x:v>
      </x:c>
      <x:c r="K39" s="4" t="inlineStr">
        <x:is>
          <x:t xml:space="preserve">Specific workflow observation needed.</x:t>
        </x:is>
      </x:c>
      <x:c r="L39" s="4" t="inlineStr">
        <x:is>
          <x:t xml:space="preserve">Not Contacted</x:t>
        </x:is>
      </x:c>
    </x:row>
    <x:row r="40">
      <x:c r="A40" s="6" t="inlineStr">
        <x:is>
          <x:t xml:space="preserve">Corporate Wellness</x:t>
        </x:is>
      </x:c>
      <x:c r="B40" s="6" t="inlineStr">
        <x:is>
          <x:t xml:space="preserve">Fintech/company</x:t>
        </x:is>
      </x:c>
      <x:c r="C40" s="6" t="inlineStr">
        <x:is>
          <x:t xml:space="preserve">Nigeria</x:t>
        </x:is>
      </x:c>
      <x:c r="D40" s="6" t="inlineStr">
        <x:is>
          <x:t xml:space="preserve">Flutterwave</x:t>
        </x:is>
      </x:c>
      <x:c r="E40" s="6" t="inlineStr">
        <x:is>
          <x:t xml:space="preserve"/>
        </x:is>
      </x:c>
      <x:c r="F40" s="6" t="inlineStr">
        <x:is>
          <x:t xml:space="preserve">https://flutterwave.com/</x:t>
        </x:is>
      </x:c>
      <x:c r="G40" s="6" t="inlineStr">
        <x:is>
          <x:t xml:space="preserve">Corporate wellness/community angle; only pursue through warm intro.</x:t>
        </x:is>
      </x:c>
      <x:c r="H40" s="6" t="inlineStr">
        <x:is>
          <x:t xml:space="preserve">Corporate Intro</x:t>
        </x:is>
      </x:c>
      <x:c r="I40" s="6" t="n">
        <x:v>500</x:v>
      </x:c>
      <x:c r="J40" s="6" t="n">
        <x:v>0.05</x:v>
      </x:c>
      <x:c r="K40" s="6" t="inlineStr">
        <x:is>
          <x:t xml:space="preserve">Do not cold pitch HR first; find warm path.</x:t>
        </x:is>
      </x:c>
      <x:c r="L40" s="6" t="inlineStr">
        <x:is>
          <x:t xml:space="preserve">Not Contacted</x:t>
        </x:is>
      </x:c>
    </x:row>
    <x:row r="41">
      <x:c r="A41" s="4" t="inlineStr">
        <x:is>
          <x:t xml:space="preserve">Corporate Wellness</x:t>
        </x:is>
      </x:c>
      <x:c r="B41" s="4" t="inlineStr">
        <x:is>
          <x:t xml:space="preserve">Fintech/company</x:t>
        </x:is>
      </x:c>
      <x:c r="C41" s="4" t="inlineStr">
        <x:is>
          <x:t xml:space="preserve">Nigeria</x:t>
        </x:is>
      </x:c>
      <x:c r="D41" s="4" t="inlineStr">
        <x:is>
          <x:t xml:space="preserve">Paystack</x:t>
        </x:is>
      </x:c>
      <x:c r="E41" s="4" t="inlineStr">
        <x:is>
          <x:t xml:space="preserve"/>
        </x:is>
      </x:c>
      <x:c r="F41" s="4" t="inlineStr">
        <x:is>
          <x:t xml:space="preserve">https://paystack.com/</x:t>
        </x:is>
      </x:c>
      <x:c r="G41" s="4" t="inlineStr">
        <x:is>
          <x:t xml:space="preserve">Corporate wellness/community angle; only pursue through warm intro.</x:t>
        </x:is>
      </x:c>
      <x:c r="H41" s="4" t="inlineStr">
        <x:is>
          <x:t xml:space="preserve">Corporate Intro</x:t>
        </x:is>
      </x:c>
      <x:c r="I41" s="4" t="n">
        <x:v>500</x:v>
      </x:c>
      <x:c r="J41" s="4" t="n">
        <x:v>0.05</x:v>
      </x:c>
      <x:c r="K41" s="4" t="inlineStr">
        <x:is>
          <x:t xml:space="preserve">Do not cold pitch HR first; find warm path.</x:t>
        </x:is>
      </x:c>
      <x:c r="L41" s="4" t="inlineStr">
        <x:is>
          <x:t xml:space="preserve">Not Contacted</x:t>
        </x:is>
      </x:c>
    </x:row>
    <x:row r="42">
      <x:c r="A42" s="6" t="inlineStr">
        <x:is>
          <x:t xml:space="preserve">Corporate Wellness</x:t>
        </x:is>
      </x:c>
      <x:c r="B42" s="6" t="inlineStr">
        <x:is>
          <x:t xml:space="preserve">Fintech/company</x:t>
        </x:is>
      </x:c>
      <x:c r="C42" s="6" t="inlineStr">
        <x:is>
          <x:t xml:space="preserve">Nigeria</x:t>
        </x:is>
      </x:c>
      <x:c r="D42" s="6" t="inlineStr">
        <x:is>
          <x:t xml:space="preserve">PiggyVest</x:t>
        </x:is>
      </x:c>
      <x:c r="E42" s="6" t="inlineStr">
        <x:is>
          <x:t xml:space="preserve"/>
        </x:is>
      </x:c>
      <x:c r="F42" s="6" t="inlineStr">
        <x:is>
          <x:t xml:space="preserve">https://www.piggyvest.com/</x:t>
        </x:is>
      </x:c>
      <x:c r="G42" s="6" t="inlineStr">
        <x:is>
          <x:t xml:space="preserve">Corporate wellness/community angle; only pursue through warm intro.</x:t>
        </x:is>
      </x:c>
      <x:c r="H42" s="6" t="inlineStr">
        <x:is>
          <x:t xml:space="preserve">Corporate Intro</x:t>
        </x:is>
      </x:c>
      <x:c r="I42" s="6" t="n">
        <x:v>500</x:v>
      </x:c>
      <x:c r="J42" s="6" t="n">
        <x:v>0.05</x:v>
      </x:c>
      <x:c r="K42" s="6" t="inlineStr">
        <x:is>
          <x:t xml:space="preserve">Do not cold pitch HR first; find warm path.</x:t>
        </x:is>
      </x:c>
      <x:c r="L42" s="6" t="inlineStr">
        <x:is>
          <x:t xml:space="preserve">Not Contacted</x:t>
        </x:is>
      </x:c>
    </x:row>
    <x:row r="43">
      <x:c r="A43" s="4" t="inlineStr">
        <x:is>
          <x:t xml:space="preserve">Corporate Wellness</x:t>
        </x:is>
      </x:c>
      <x:c r="B43" s="4" t="inlineStr">
        <x:is>
          <x:t xml:space="preserve">Tech talent/company</x:t>
        </x:is>
      </x:c>
      <x:c r="C43" s="4" t="inlineStr">
        <x:is>
          <x:t xml:space="preserve">Remote/Africa</x:t>
        </x:is>
      </x:c>
      <x:c r="D43" s="4" t="inlineStr">
        <x:is>
          <x:t xml:space="preserve">Andela</x:t>
        </x:is>
      </x:c>
      <x:c r="E43" s="4" t="inlineStr">
        <x:is>
          <x:t xml:space="preserve"/>
        </x:is>
      </x:c>
      <x:c r="F43" s="4" t="inlineStr">
        <x:is>
          <x:t xml:space="preserve">https://andela.com/</x:t>
        </x:is>
      </x:c>
      <x:c r="G43" s="4" t="inlineStr">
        <x:is>
          <x:t xml:space="preserve">Wellness/community/team-building angle; only pursue through warm intro.</x:t>
        </x:is>
      </x:c>
      <x:c r="H43" s="4" t="inlineStr">
        <x:is>
          <x:t xml:space="preserve">Corporate Intro</x:t>
        </x:is>
      </x:c>
      <x:c r="I43" s="4" t="n">
        <x:v>500</x:v>
      </x:c>
      <x:c r="J43" s="4" t="n">
        <x:v>0.05</x:v>
      </x:c>
      <x:c r="K43" s="4" t="inlineStr">
        <x:is>
          <x:t xml:space="preserve">Find people/ops contact through network.</x:t>
        </x:is>
      </x:c>
      <x:c r="L43" s="4" t="inlineStr">
        <x:is>
          <x:t xml:space="preserve">Not Contacted</x:t>
        </x:is>
      </x:c>
    </x:row>
    <x:row r="44">
      <x:c r="A44" s="6" t="inlineStr">
        <x:is>
          <x:t xml:space="preserve">Corporate Wellness</x:t>
        </x:is>
      </x:c>
      <x:c r="B44" s="6" t="inlineStr">
        <x:is>
          <x:t xml:space="preserve">Fintech/company</x:t>
        </x:is>
      </x:c>
      <x:c r="C44" s="6" t="inlineStr">
        <x:is>
          <x:t xml:space="preserve">Nigeria</x:t>
        </x:is>
      </x:c>
      <x:c r="D44" s="6" t="inlineStr">
        <x:is>
          <x:t xml:space="preserve">Cowrywise</x:t>
        </x:is>
      </x:c>
      <x:c r="E44" s="6" t="inlineStr">
        <x:is>
          <x:t xml:space="preserve"/>
        </x:is>
      </x:c>
      <x:c r="F44" s="6" t="inlineStr">
        <x:is>
          <x:t xml:space="preserve">https://cowrywise.com/</x:t>
        </x:is>
      </x:c>
      <x:c r="G44" s="6" t="inlineStr">
        <x:is>
          <x:t xml:space="preserve">Corporate wellness/community angle; only pursue through warm intro.</x:t>
        </x:is>
      </x:c>
      <x:c r="H44" s="6" t="inlineStr">
        <x:is>
          <x:t xml:space="preserve">Corporate Intro</x:t>
        </x:is>
      </x:c>
      <x:c r="I44" s="6" t="n">
        <x:v>500</x:v>
      </x:c>
      <x:c r="J44" s="6" t="n">
        <x:v>0.05</x:v>
      </x:c>
      <x:c r="K44" s="6" t="inlineStr">
        <x:is>
          <x:t xml:space="preserve">Find warm intro first.</x:t>
        </x:is>
      </x:c>
      <x:c r="L44" s="6" t="inlineStr">
        <x:is>
          <x:t xml:space="preserve">Not Contacted</x:t>
        </x:is>
      </x:c>
    </x:row>
  </x:sheetData>
  <x:mergeCells>
    <x:mergeCell ref="A2:L2"/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0" customWidth="1"/>
    <x:col min="3" max="3" width="44" customWidth="1"/>
    <x:col min="4" max="4" width="56" customWidth="1"/>
    <x:col min="5" max="5" width="42" customWidth="1"/>
    <x:col min="6" max="6" width="36" customWidth="1"/>
    <x:col min="7" max="7" width="42" customWidth="1"/>
    <x:col min="8" max="8" width="16" customWidth="1"/>
  </x:cols>
  <x:sheetData>
    <x:row r="1" ht="28" customHeight="1">
      <x:c r="A1" s="1" t="inlineStr">
        <x:is>
          <x:t xml:space="preserve">Prospect Criteria</x:t>
        </x:is>
      </x:c>
    </x:row>
    <x:row r="2" ht="22" customHeight="1">
      <x:c r="A2" s="2" t="inlineStr">
        <x:is>
          <x:t xml:space="preserve">Use this to decide who belongs in the first 40 prospects.</x:t>
        </x:is>
      </x:c>
    </x:row>
    <x:row r="4">
      <x:c r="A4" s="9" t="inlineStr">
        <x:is>
          <x:t xml:space="preserve">Quota</x:t>
        </x:is>
      </x:c>
      <x:c r="B4" s="9" t="inlineStr">
        <x:is>
          <x:t xml:space="preserve">Segment</x:t>
        </x:is>
      </x:c>
      <x:c r="C4" s="9" t="inlineStr">
        <x:is>
          <x:t xml:space="preserve">Ideal Buyer</x:t>
        </x:is>
      </x:c>
      <x:c r="D4" s="9" t="inlineStr">
        <x:is>
          <x:t xml:space="preserve">Pain Clues</x:t>
        </x:is>
      </x:c>
      <x:c r="E4" s="9" t="inlineStr">
        <x:is>
          <x:t xml:space="preserve">Where To Find</x:t>
        </x:is>
      </x:c>
      <x:c r="F4" s="9" t="inlineStr">
        <x:is>
          <x:t xml:space="preserve">First Offer</x:t>
        </x:is>
      </x:c>
      <x:c r="G4" s="9" t="inlineStr">
        <x:is>
          <x:t xml:space="preserve">Disqualifiers</x:t>
        </x:is>
      </x:c>
      <x:c r="H4" s="9" t="inlineStr">
        <x:is>
          <x:t xml:space="preserve">July Priority</x:t>
        </x:is>
      </x:c>
    </x:row>
    <x:row r="5">
      <x:c r="A5" s="4" t="n">
        <x:v>10</x:v>
      </x:c>
      <x:c r="B5" s="4" t="inlineStr">
        <x:is>
          <x:t xml:space="preserve">Warm founder/operator contacts</x:t>
        </x:is>
      </x:c>
      <x:c r="C5" s="4" t="inlineStr">
        <x:is>
          <x:t xml:space="preserve">People who already know your ability or can introduce you to operators.</x:t>
        </x:is>
      </x:c>
      <x:c r="D5" s="4" t="inlineStr">
        <x:is>
          <x:t xml:space="preserve">Manual admin, missed follow-ups, data scattered across tools, repeated reporting.</x:t>
        </x:is>
      </x:c>
      <x:c r="E5" s="4" t="inlineStr">
        <x:is>
          <x:t xml:space="preserve">LinkedIn, WhatsApp, former projects, founders in your circle.</x:t>
        </x:is>
      </x:c>
      <x:c r="F5" s="4" t="inlineStr">
        <x:is>
          <x:t xml:space="preserve">Referral ask or paid workflow audit.</x:t>
        </x:is>
      </x:c>
      <x:c r="G5" s="4" t="inlineStr">
        <x:is>
          <x:t xml:space="preserve">No trust path, no operational pain, no budget owner.</x:t>
        </x:is>
      </x:c>
      <x:c r="H5" s="4" t="inlineStr">
        <x:is>
          <x:t xml:space="preserve">Highest</x:t>
        </x:is>
      </x:c>
    </x:row>
    <x:row r="6">
      <x:c r="A6" s="6" t="n">
        <x:v>15</x:v>
      </x:c>
      <x:c r="B6" s="6" t="inlineStr">
        <x:is>
          <x:t xml:space="preserve">Western swim schools / sports academies</x:t>
        </x:is>
      </x:c>
      <x:c r="C6" s="6" t="inlineStr">
        <x:is>
          <x:t xml:space="preserve">Owners or operators of swim schools, adult swim programs, triathlon swim coaches, kids sports academies.</x:t>
        </x:is>
      </x:c>
      <x:c r="D6" s="6" t="inlineStr">
        <x:is>
          <x:t xml:space="preserve">Inquiry form, trial/assessment booking, class levels, waitlist, waivers, multiple locations, payment follow-up.</x:t>
        </x:is>
      </x:c>
      <x:c r="E6" s="6" t="inlineStr">
        <x:is>
          <x:t xml:space="preserve">USA Swimming, USMS, Google Maps, local directories, LinkedIn.</x:t>
        </x:is>
      </x:c>
      <x:c r="F6" s="6" t="inlineStr">
        <x:is>
          <x:t xml:space="preserve">Lead-to-Enrollment Leak Audit.</x:t>
        </x:is>
      </x:c>
      <x:c r="G6" s="6" t="inlineStr">
        <x:is>
          <x:t xml:space="preserve">No clear owner/contact, no booking/enrollment flow, tiny volunteer-only club.</x:t>
        </x:is>
      </x:c>
      <x:c r="H6" s="6" t="inlineStr">
        <x:is>
          <x:t xml:space="preserve">Market test</x:t>
        </x:is>
      </x:c>
    </x:row>
    <x:row r="7">
      <x:c r="A7" s="4" t="n">
        <x:v>10</x:v>
      </x:c>
      <x:c r="B7" s="4" t="inlineStr">
        <x:is>
          <x:t xml:space="preserve">Agencies / small operators</x:t>
        </x:is>
      </x:c>
      <x:c r="C7" s="4" t="inlineStr">
        <x:is>
          <x:t xml:space="preserve">Small agencies, implementation shops, consultants, SaaS operators, or service teams.</x:t>
        </x:is>
      </x:c>
      <x:c r="D7" s="4" t="inlineStr">
        <x:is>
          <x:t xml:space="preserve">Client onboarding, intake docs, reporting, dashboards, recurring status updates, messy handoff.</x:t>
        </x:is>
      </x:c>
      <x:c r="E7" s="4" t="inlineStr">
        <x:is>
          <x:t xml:space="preserve">LinkedIn, founder communities, agency directories, warm intros.</x:t>
        </x:is>
      </x:c>
      <x:c r="F7" s="4" t="inlineStr">
        <x:is>
          <x:t xml:space="preserve">Client Onboarding/Reporting Workflow Audit.</x:t>
        </x:is>
      </x:c>
      <x:c r="G7" s="4" t="inlineStr">
        <x:is>
          <x:t xml:space="preserve">Pure content agencies with no ops pain, no decision maker, no budget.</x:t>
        </x:is>
      </x:c>
      <x:c r="H7" s="4" t="inlineStr">
        <x:is>
          <x:t xml:space="preserve">High</x:t>
        </x:is>
      </x:c>
    </x:row>
    <x:row r="8">
      <x:c r="A8" s="6" t="n">
        <x:v>5</x:v>
      </x:c>
      <x:c r="B8" s="6" t="inlineStr">
        <x:is>
          <x:t xml:space="preserve">Backup local/corporate SwimBuddz</x:t>
        </x:is>
      </x:c>
      <x:c r="C8" s="6" t="inlineStr">
        <x:is>
          <x:t xml:space="preserve">HR/People/Ops teams, community leaders, wellness decision makers, clubs.</x:t>
        </x:is>
      </x:c>
      <x:c r="D8" s="6" t="inlineStr">
        <x:is>
          <x:t xml:space="preserve">Employee wellness, beginner adult swimming, safety, community, team bonding.</x:t>
        </x:is>
      </x:c>
      <x:c r="E8" s="6" t="inlineStr">
        <x:is>
          <x:t xml:space="preserve">Warm network, LinkedIn, local companies, past SwimBuddz contacts.</x:t>
        </x:is>
      </x:c>
      <x:c r="F8" s="6" t="inlineStr">
        <x:is>
          <x:t xml:space="preserve">Corporate swim/wellness intro call.</x:t>
        </x:is>
      </x:c>
      <x:c r="G8" s="6" t="inlineStr">
        <x:is>
          <x:t xml:space="preserve">No warm path, no wellness budget, long procurement.</x:t>
        </x:is>
      </x:c>
      <x:c r="H8" s="6" t="inlineStr">
        <x:is>
          <x:t xml:space="preserve">Backup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2" customWidth="1"/>
    <x:col min="3" max="3" width="86" customWidth="1"/>
    <x:col min="4" max="4" width="32" customWidth="1"/>
    <x:col min="5" max="5" width="42" customWidth="1"/>
  </x:cols>
  <x:sheetData>
    <x:row r="1" ht="28" customHeight="1">
      <x:c r="A1" s="1" t="inlineStr">
        <x:is>
          <x:t xml:space="preserve">Offers &amp; Templates</x:t>
        </x:is>
      </x:c>
    </x:row>
    <x:row r="2" ht="22" customHeight="1">
      <x:c r="A2" s="2" t="inlineStr">
        <x:is>
          <x:t xml:space="preserve">Use direct, concrete offers. Do not sell generic AI automation.</x:t>
        </x:is>
      </x:c>
    </x:row>
    <x:row r="4">
      <x:c r="A4" s="3" t="inlineStr">
        <x:is>
          <x:t xml:space="preserve">Track</x:t>
        </x:is>
      </x:c>
      <x:c r="B4" s="3" t="inlineStr">
        <x:is>
          <x:t xml:space="preserve">Asset</x:t>
        </x:is>
      </x:c>
      <x:c r="C4" s="3" t="inlineStr">
        <x:is>
          <x:t xml:space="preserve">Copy / Script</x:t>
        </x:is>
      </x:c>
      <x:c r="D4" s="3" t="inlineStr">
        <x:is>
          <x:t xml:space="preserve">Use When</x:t>
        </x:is>
      </x:c>
      <x:c r="E4" s="3" t="inlineStr">
        <x:is>
          <x:t xml:space="preserve">Notes</x:t>
        </x:is>
      </x:c>
    </x:row>
    <x:row r="5">
      <x:c r="A5" s="4" t="inlineStr">
        <x:is>
          <x:t xml:space="preserve">Strategy</x:t>
        </x:is>
      </x:c>
      <x:c r="B5" s="4" t="inlineStr">
        <x:is>
          <x:t xml:space="preserve">July rule</x:t>
        </x:is>
      </x:c>
      <x:c r="C5" s="4" t="inlineStr">
        <x:is>
          <x:t xml:space="preserve">By July 31, collect $2k from either one $1.5k-$2.5k implementation sprint or 4-5 $300-$500 paid audits. Primary cash path is warm-network tech/ops gigs. Swim/sports academy is a 5-day niche test, not the only bet.</x:t>
        </x:is>
      </x:c>
      <x:c r="D5" s="4" t="inlineStr">
        <x:is>
          <x:t xml:space="preserve">Dashboard / daily reminder</x:t>
        </x:is>
      </x:c>
      <x:c r="E5" s="4" t="inlineStr">
        <x:is>
          <x:t xml:space="preserve">This prevents overcommitting to a slow cold market.</x:t>
        </x:is>
      </x:c>
    </x:row>
    <x:row r="6">
      <x:c r="A6" s="6" t="inlineStr">
        <x:is>
          <x:t xml:space="preserve">Warm Network</x:t>
        </x:is>
      </x:c>
      <x:c r="B6" s="6" t="inlineStr">
        <x:is>
          <x:t xml:space="preserve">Direct ask</x:t>
        </x:is>
      </x:c>
      <x:c r="C6" s="6" t="inlineStr">
        <x:is>
          <x:t xml:space="preserve">Hey [Name], quick ask. I am looking to close 1-2 fixed-scope workflow automation projects before July 31. I am strongest at AI/backend systems, integrations, internal tools, dashboards, and operational workflows. Do you know any founder/operator losing time or leads because a manual process is messy? I can do either a 48h paid audit or a 10-day implementation sprint.</x:t>
        </x:is>
      </x:c>
      <x:c r="D6" s="6" t="inlineStr">
        <x:is>
          <x:t xml:space="preserve">People who know your work</x:t>
        </x:is>
      </x:c>
      <x:c r="E6" s="6" t="inlineStr">
        <x:is>
          <x:t xml:space="preserve">Highest short-term probability because trust already exists.</x:t>
        </x:is>
      </x:c>
    </x:row>
    <x:row r="7">
      <x:c r="A7" s="4" t="inlineStr">
        <x:is>
          <x:t xml:space="preserve">Swim/Sports Niche</x:t>
        </x:is>
      </x:c>
      <x:c r="B7" s="4" t="inlineStr">
        <x:is>
          <x:t xml:space="preserve">Cold opener</x:t>
        </x:is>
      </x:c>
      <x:c r="C7" s="4" t="inlineStr">
        <x:is>
          <x:t xml:space="preserve">Hi [Name], I run SwimBuddz and noticed [specific clue from their booking/enrollment flow]. A lot of swim schools lose leads between inquiry, assessment, trial, class placement, payment, and follow-up. I am testing a 48h Lead-to-Enrollment Leak Audit: Loom teardown, flow map, quick fixes, and an implementation plan. Would it be useful if I sent one specific observation from your current flow?</x:t>
        </x:is>
      </x:c>
      <x:c r="D7" s="4" t="inlineStr">
        <x:is>
          <x:t xml:space="preserve">Owners/operators with visible lead flow</x:t>
        </x:is>
      </x:c>
      <x:c r="E7" s="4" t="inlineStr">
        <x:is>
          <x:t xml:space="preserve">Ask permission first if there is no warm connection.</x:t>
        </x:is>
      </x:c>
    </x:row>
    <x:row r="8">
      <x:c r="A8" s="6" t="inlineStr">
        <x:is>
          <x:t xml:space="preserve">Agency/Operator</x:t>
        </x:is>
      </x:c>
      <x:c r="B8" s="6" t="inlineStr">
        <x:is>
          <x:t xml:space="preserve">Cold opener</x:t>
        </x:is>
      </x:c>
      <x:c r="C8" s="6" t="inlineStr">
        <x:is>
          <x:t xml:space="preserve">Hi [Name], I noticed your team handles [client/service type]. Agencies often lose time in client onboarding and reporting: intake docs, status updates, dashboards, recurring reports, and follow-ups. I build fixed-scope backend/automation workflows. Open to me sending one specific observation about a workflow you could tighten?</x:t>
        </x:is>
      </x:c>
      <x:c r="D8" s="6" t="inlineStr">
        <x:is>
          <x:t xml:space="preserve">Small agencies/operators</x:t>
        </x:is>
      </x:c>
      <x:c r="E8" s="6" t="inlineStr">
        <x:is>
          <x:t xml:space="preserve">This is the fastest adjacent niche if swim replies are weak.</x:t>
        </x:is>
      </x:c>
    </x:row>
    <x:row r="9">
      <x:c r="A9" s="4" t="inlineStr">
        <x:is>
          <x:t xml:space="preserve">Closing</x:t>
        </x:is>
      </x:c>
      <x:c r="B9" s="4" t="inlineStr">
        <x:is>
          <x:t xml:space="preserve">Paid audit close</x:t>
        </x:is>
      </x:c>
      <x:c r="C9" s="4" t="inlineStr">
        <x:is>
          <x:t xml:space="preserve">Based on what you described, I would not start with a full build. I would do a 48h workflow audit first: map the current flow, identify leaks, propose quick wins, and give you the implementation plan. It is $400 and I credit it toward the sprint if we build. Want me to do that this week?</x:t>
        </x:is>
      </x:c>
      <x:c r="D9" s="4" t="inlineStr">
        <x:is>
          <x:t xml:space="preserve">After a call or strong reply</x:t>
        </x:is>
      </x:c>
      <x:c r="E9" s="4" t="inlineStr">
        <x:is>
          <x:t xml:space="preserve">Do not leave conversations at 'let me know'.</x:t>
        </x:is>
      </x:c>
    </x:row>
    <x:row r="10">
      <x:c r="A10" s="6" t="inlineStr">
        <x:is>
          <x:t xml:space="preserve">Closing</x:t>
        </x:is>
      </x:c>
      <x:c r="B10" s="6" t="inlineStr">
        <x:is>
          <x:t xml:space="preserve">Sprint close</x:t>
        </x:is>
      </x:c>
      <x:c r="C10" s="6" t="inlineStr">
        <x:is>
          <x:t xml:space="preserve">The sprint would focus on one workflow end-to-end: [workflow]. Deliverables: intake/booking flow, integrations, reminders, payment/status tracking, simple dashboard, error handling, and handover notes. Timeline: 10 business days. Price: $1.5k-$2.5k depending on scope. To reserve the week, I take a 50 percent deposit.</x:t>
        </x:is>
      </x:c>
      <x:c r="D10" s="6" t="inlineStr">
        <x:is>
          <x:t xml:space="preserve">When audit/call reveals concrete pain</x:t>
        </x:is>
      </x:c>
      <x:c r="E10" s="6" t="inlineStr">
        <x:is>
          <x:t xml:space="preserve">Keep scope narrow; one workflow only.</x:t>
        </x:is>
      </x:c>
    </x:row>
    <x:row r="11">
      <x:c r="A11" s="4" t="inlineStr">
        <x:is>
          <x:t xml:space="preserve">Follow-up</x:t>
        </x:is>
      </x:c>
      <x:c r="B11" s="4" t="inlineStr">
        <x:is>
          <x:t xml:space="preserve">Follow-up 1</x:t>
        </x:is>
      </x:c>
      <x:c r="C11" s="4" t="inlineStr">
        <x:is>
          <x:t xml:space="preserve">Quick follow-up on this. Is lead follow-up / onboarding / reporting currently a real problem for you, or is it already handled well enough?</x:t>
        </x:is>
      </x:c>
      <x:c r="D11" s="4" t="inlineStr">
        <x:is>
          <x:t xml:space="preserve">2 days after no reply</x:t>
        </x:is>
      </x:c>
      <x:c r="E11" s="4" t="inlineStr">
        <x:is>
          <x:t xml:space="preserve">Forces useful market feedback.</x:t>
        </x:is>
      </x:c>
    </x:row>
    <x:row r="12">
      <x:c r="A12" s="6" t="inlineStr">
        <x:is>
          <x:t xml:space="preserve">Follow-up</x:t>
        </x:is>
      </x:c>
      <x:c r="B12" s="6" t="inlineStr">
        <x:is>
          <x:t xml:space="preserve">Referral follow-up</x:t>
        </x:is>
      </x:c>
      <x:c r="C12" s="6" t="inlineStr">
        <x:is>
          <x:t xml:space="preserve">No worries if not you. Is there one founder/operator you think this would be more relevant for?</x:t>
        </x:is>
      </x:c>
      <x:c r="D12" s="6" t="inlineStr">
        <x:is>
          <x:t xml:space="preserve">Warm network non-buyer</x:t>
        </x:is>
      </x:c>
      <x:c r="E12" s="6" t="inlineStr">
        <x:is>
          <x:t xml:space="preserve">Converts non-buyers into intros.</x:t>
        </x:is>
      </x:c>
    </x:row>
    <x:row r="14">
      <x:c r="A14" s="99" t="str">
        <x:v>Navigation</x:v>
      </x:c>
      <x:c r="B14" s="100" t="str">
        <x:v>Lead-to-Enrollment Leak Audit</x:v>
      </x:c>
      <x:c r="C14" s="72" t="str">
        <x:v>The complete scope, deliverables, discovery questions, outreach messages, and paid close are in the Lead Audit sheet.</x:v>
      </x:c>
      <x:c r="D14" s="72" t="str">
        <x:v>Before swim/sports outreach or calls</x:v>
      </x:c>
      <x:c r="E14" s="74" t="str">
        <x:v>This is a paid diagnostic. Give only one observation for free.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8" customWidth="1"/>
    <x:col min="3" max="3" width="36" customWidth="1"/>
    <x:col min="4" max="4" width="36" customWidth="1"/>
    <x:col min="5" max="5" width="42" customWidth="1"/>
    <x:col min="6" max="6" width="48" customWidth="1"/>
  </x:cols>
  <x:sheetData>
    <x:row r="1" ht="28" customHeight="1">
      <x:c r="A1" s="1" t="inlineStr">
        <x:is>
          <x:t xml:space="preserve">Gate Logic</x:t>
        </x:is>
      </x:c>
    </x:row>
    <x:row r="2" ht="22" customHeight="1">
      <x:c r="A2" s="2" t="inlineStr">
        <x:is>
          <x:t xml:space="preserve">Use the market response to decide. Do not argue with weak signals.</x:t>
        </x:is>
      </x:c>
    </x:row>
    <x:row r="4">
      <x:c r="A4" s="10" t="inlineStr">
        <x:is>
          <x:t xml:space="preserve">Date</x:t>
        </x:is>
      </x:c>
      <x:c r="B4" s="10" t="inlineStr">
        <x:is>
          <x:t xml:space="preserve">Question</x:t>
        </x:is>
      </x:c>
      <x:c r="C4" s="10" t="inlineStr">
        <x:is>
          <x:t xml:space="preserve">Green Signal</x:t>
        </x:is>
      </x:c>
      <x:c r="D4" s="10" t="inlineStr">
        <x:is>
          <x:t xml:space="preserve">Red Signal</x:t>
        </x:is>
      </x:c>
      <x:c r="E4" s="10" t="inlineStr">
        <x:is>
          <x:t xml:space="preserve">Action If Green</x:t>
        </x:is>
      </x:c>
      <x:c r="F4" s="10" t="inlineStr">
        <x:is>
          <x:t xml:space="preserve">Action If Red</x:t>
        </x:is>
      </x:c>
    </x:row>
    <x:row r="5">
      <x:c r="A5" s="4" t="inlineStr">
        <x:is>
          <x:t xml:space="preserve">2026-07-16</x:t>
        </x:is>
      </x:c>
      <x:c r="B5" s="4" t="inlineStr">
        <x:is>
          <x:t xml:space="preserve">Is swim/sports academy a real July cash path?</x:t>
        </x:is>
      </x:c>
      <x:c r="C5" s="4" t="inlineStr">
        <x:is>
          <x:t xml:space="preserve">5 replies, 2 calls, or 1 paid-audit interest.</x:t>
        </x:is>
      </x:c>
      <x:c r="D5" s="4" t="inlineStr">
        <x:is>
          <x:t xml:space="preserve">Fewer than 3 replies and no call momentum.</x:t>
        </x:is>
      </x:c>
      <x:c r="E5" s="4" t="inlineStr">
        <x:is>
          <x:t xml:space="preserve">Keep swim at 40 percent of outreach and continue Loom teardowns.</x:t>
        </x:is>
      </x:c>
      <x:c r="F5" s="4" t="inlineStr">
        <x:is>
          <x:t xml:space="preserve">Reduce swim to 20 percent; shift to warm network and agency/operator.</x:t>
        </x:is>
      </x:c>
    </x:row>
    <x:row r="6">
      <x:c r="A6" s="6" t="inlineStr">
        <x:is>
          <x:t xml:space="preserve">2026-07-20</x:t>
        </x:is>
      </x:c>
      <x:c r="B6" s="6" t="inlineStr">
        <x:is>
          <x:t xml:space="preserve">Is any channel producing buyer conversations?</x:t>
        </x:is>
      </x:c>
      <x:c r="C6" s="6" t="inlineStr">
        <x:is>
          <x:t xml:space="preserve">1 proposal or $300+ paid audit sold.</x:t>
        </x:is>
      </x:c>
      <x:c r="D6" s="6" t="inlineStr">
        <x:is>
          <x:t xml:space="preserve">Only polite replies and no paid ask accepted.</x:t>
        </x:is>
      </x:c>
      <x:c r="E6" s="6" t="inlineStr">
        <x:is>
          <x:t xml:space="preserve">Push proposals and sprint deposits.</x:t>
        </x:is>
      </x:c>
      <x:c r="F6" s="6" t="inlineStr">
        <x:is>
          <x:t xml:space="preserve">Make direct high-trust asks; lower friction with $300 audit.</x:t>
        </x:is>
      </x:c>
    </x:row>
    <x:row r="7">
      <x:c r="A7" s="4" t="inlineStr">
        <x:is>
          <x:t xml:space="preserve">2026-07-24</x:t>
        </x:is>
      </x:c>
      <x:c r="B7" s="4" t="inlineStr">
        <x:is>
          <x:t xml:space="preserve">Is cash collection on track?</x:t>
        </x:is>
      </x:c>
      <x:c r="C7" s="4" t="inlineStr">
        <x:is>
          <x:t xml:space="preserve">$500+ collected or signed sprint.</x:t>
        </x:is>
      </x:c>
      <x:c r="D7" s="4" t="inlineStr">
        <x:is>
          <x:t xml:space="preserve">No committed money.</x:t>
        </x:is>
      </x:c>
      <x:c r="E7" s="4" t="inlineStr">
        <x:is>
          <x:t xml:space="preserve">Deliver fast and ask for referrals/deposit.</x:t>
        </x:is>
      </x:c>
      <x:c r="F7" s="4" t="inlineStr">
        <x:is>
          <x:t xml:space="preserve">Stop cold experiments; work only strongest 10 leads.</x:t>
        </x:is>
      </x:c>
    </x:row>
    <x:row r="8">
      <x:c r="A8" s="6" t="inlineStr">
        <x:is>
          <x:t xml:space="preserve">2026-07-28</x:t>
        </x:is>
      </x:c>
      <x:c r="B8" s="6" t="inlineStr">
        <x:is>
          <x:t xml:space="preserve">Can $2k close by Jul 31?</x:t>
        </x:is>
      </x:c>
      <x:c r="C8" s="6" t="inlineStr">
        <x:is>
          <x:t xml:space="preserve">$1k+ collected/committed and at least one sprint in negotiation.</x:t>
        </x:is>
      </x:c>
      <x:c r="D8" s="6" t="inlineStr">
        <x:is>
          <x:t xml:space="preserve">No committed buyer.</x:t>
        </x:is>
      </x:c>
      <x:c r="E8" s="6" t="inlineStr">
        <x:is>
          <x:t xml:space="preserve">Push sprint deposit and paid audit bundle.</x:t>
        </x:is>
      </x:c>
      <x:c r="F8" s="6" t="inlineStr">
        <x:is>
          <x:t xml:space="preserve">Use immediate cash alternatives: direct contract work, referrals, local corporate intro.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72" customWidth="1"/>
  </x:cols>
  <x:sheetData>
    <x:row r="1" ht="28" customHeight="1">
      <x:c r="A1" s="1" t="inlineStr">
        <x:is>
          <x:t xml:space="preserve">Reminder Config</x:t>
        </x:is>
      </x:c>
    </x:row>
    <x:row r="2" ht="22" customHeight="1">
      <x:c r="A2" s="2" t="inlineStr">
        <x:is>
          <x:t xml:space="preserve">Paste Apps Script Code into Extensions &gt; Apps Script, then run syncPlanReminders.</x:t>
        </x:is>
      </x:c>
    </x:row>
    <x:row r="4">
      <x:c r="A4" s="3" t="inlineStr">
        <x:is>
          <x:t xml:space="preserve">Key</x:t>
        </x:is>
      </x:c>
      <x:c r="B4" s="3" t="inlineStr">
        <x:is>
          <x:t xml:space="preserve">Value</x:t>
        </x:is>
      </x:c>
      <x:c r="C4" s="3" t="inlineStr">
        <x:is>
          <x:t xml:space="preserve">Description</x:t>
        </x:is>
      </x:c>
    </x:row>
    <x:row r="5">
      <x:c r="A5" s="4" t="inlineStr">
        <x:is>
          <x:t xml:space="preserve">Calendar ID</x:t>
        </x:is>
      </x:c>
      <x:c r="B5" s="4" t="inlineStr">
        <x:is>
          <x:t xml:space="preserve">primary</x:t>
        </x:is>
      </x:c>
      <x:c r="C5" s="4" t="inlineStr">
        <x:is>
          <x:t xml:space="preserve">Use primary calendar unless you paste a specific calendar ID.</x:t>
        </x:is>
      </x:c>
    </x:row>
    <x:row r="6">
      <x:c r="A6" s="6" t="inlineStr">
        <x:is>
          <x:t xml:space="preserve">Event Prefix</x:t>
        </x:is>
      </x:c>
      <x:c r="B6" s="6" t="inlineStr">
        <x:is>
          <x:t xml:space="preserve">Revenue Sprint</x:t>
        </x:is>
      </x:c>
      <x:c r="C6" s="6" t="inlineStr">
        <x:is>
          <x:t xml:space="preserve">Prefix added to calendar events.</x:t>
        </x:is>
      </x:c>
    </x:row>
    <x:row r="7">
      <x:c r="A7" s="4" t="inlineStr">
        <x:is>
          <x:t xml:space="preserve">Max Events Per Run</x:t>
        </x:is>
      </x:c>
      <x:c r="B7" s="4" t="n">
        <x:v>20</x:v>
      </x:c>
      <x:c r="C7" s="4" t="inlineStr">
        <x:is>
          <x:t xml:space="preserve">Keeps Apps Script under event creation limits. Run again later for remaining rows.</x:t>
        </x:is>
      </x:c>
    </x:row>
    <x:row r="8">
      <x:c r="A8" s="6" t="inlineStr">
        <x:is>
          <x:t xml:space="preserve">Dry Run</x:t>
        </x:is>
      </x:c>
      <x:c r="B8" s="6" t="inlineStr">
        <x:is>
          <x:t xml:space="preserve">FALSE</x:t>
        </x:is>
      </x:c>
      <x:c r="C8" s="6" t="inlineStr">
        <x:is>
          <x:t xml:space="preserve">Set TRUE to test logging without creating events.</x:t>
        </x:is>
      </x:c>
    </x:row>
    <x:row r="9">
      <x:c r="A9" s="4" t="inlineStr">
        <x:is>
          <x:t xml:space="preserve">Timezone</x:t>
        </x:is>
      </x:c>
      <x:c r="B9" s="4" t="inlineStr">
        <x:is>
          <x:t xml:space="preserve">Africa/Lagos</x:t>
        </x:is>
      </x:c>
      <x:c r="C9" s="4" t="inlineStr">
        <x:is>
          <x:t xml:space="preserve">Your local planning timezone.</x:t>
        </x:is>
      </x:c>
    </x:row>
    <x:row r="10">
      <x:c r="A10" s="6" t="inlineStr">
        <x:is>
          <x:t xml:space="preserve">Start Date</x:t>
        </x:is>
      </x:c>
      <x:c r="B10" s="6" t="inlineStr">
        <x:is>
          <x:t xml:space="preserve">2026-07-12</x:t>
        </x:is>
      </x:c>
      <x:c r="C10" s="6" t="inlineStr">
        <x:is>
          <x:t xml:space="preserve">First date in this workbook.</x:t>
        </x:is>
      </x:c>
    </x:row>
    <x:row r="11">
      <x:c r="A11" s="4" t="inlineStr">
        <x:is>
          <x:t xml:space="preserve">End Date</x:t>
        </x:is>
      </x:c>
      <x:c r="B11" s="4" t="inlineStr">
        <x:is>
          <x:t xml:space="preserve">2026-07-31</x:t>
        </x:is>
      </x:c>
      <x:c r="C11" s="4" t="inlineStr">
        <x:is>
          <x:t xml:space="preserve">Last date in this workbook.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0" customWidth="1"/>
  </x:cols>
  <x:sheetData>
    <x:row r="1" ht="28" customHeight="1">
      <x:c r="A1" s="1" t="inlineStr">
        <x:is>
          <x:t xml:space="preserve">Apps Script Code</x:t>
        </x:is>
      </x:c>
    </x:row>
    <x:row r="2" ht="22" customHeight="1">
      <x:c r="A2" s="2" t="inlineStr">
        <x:is>
          <x:t xml:space="preserve">Copy the code below into Apps Script for idempotent calendar reminders.</x:t>
        </x:is>
      </x:c>
    </x:row>
    <x:row r="4" ht="720" customHeight="1">
      <x:c r="A4" s="13" t="inlineStr">
        <x:is>
          <x:t xml:space="preserve">const PLAN_SHEET_NAME = 'Daily Plan';
const CONFIG_SHEET_NAME = 'Reminder Config';
function syncPlanReminders() {
  const ss = SpreadsheetApp.getActive();
  const plan = ss.getSheetByName(PLAN_SHEET_NAME);
  const config = readConfig_();
  const calendar = getCalendar_(config);
  const maxEvents = Number(config['Max Events Per Run'] || 20);
  const dryRun = String(config['Dry Run'] || 'FALSE').toUpperCase() === 'TRUE';
  const prefix = config['Event Prefix'] || 'Revenue Sprint';
  const values = plan.getDataRange().getValues();
  const h = headerMap_(values[3]);
  let changed = 0;
  for (let r = 4; r &lt; values.length; r++) {
    if (changed &gt;= maxEvents) break;
    const row = values[r];
    if (!row[h['Date']] || String(row[h['Create Reminder']]).toUpperCase() !== 'TRUE') continue;
    const status = String(row[h['Status']] || '').trim();
    if (['Done', 'Skipped'].includes(status)) continue;
    const start = parseTime_(row[h['Date']], row[h['Start Time']]);
    const end = parseTime_(row[h['Date']], row[h['End Time']]);
    if (!start || !end || end &lt;= start) continue;
    const title = `${prefix}: ${row[h['Task']]}`;
    const description = eventDescription_(row, h);
    const eventIdCol = h['Calendar Event ID'] + 1;
    let eventId = row[h['Calendar Event ID']];
    let event = eventId ? calendar.getEventById(eventId) : null;
    if (dryRun) {
      Logger.log(`[DRY RUN] ${title} ${start} - ${end}`);
      continue;
    }
    if (event) {
      event.setTitle(title);
      event.setTime(start, end);
      event.setDescription(description);
      resetReminder_(event, row[h['Reminder Lead Mins']]);
    } else {
      event = calendar.createEvent(title, start, end, { description });
      resetReminder_(event, row[h['Reminder Lead Mins']]);
      plan.getRange(r + 1, eventIdCol).setValue(event.getId());
    }
    changed++;
    Utilities.sleep(250);
  }
  Logger.log(`Processed ${changed} reminders. If you need more, run syncPlanReminders again after a few minutes.`);
}
function clearCalendarEventIdsOnly() {
  const ss = SpreadsheetApp.getActive();
  const plan = ss.getSheetByName(PLAN_SHEET_NAME);
  const values = plan.getDataRange().getValues();
  const h = headerMap_(values[3]);
  plan.getRange(5, h['Calendar Event ID'] + 1, values.length - 4, 1).clearContent();
}
function readConfig_() {
  const sheet = SpreadsheetApp.getActive().getSheetByName(CONFIG_SHEET_NAME);
  const rows = sheet.getDataRange().getValues();
  const config = {};
  rows.forEach(row =&gt; {
    if (row[0]) config[String(row[0]).trim()] = row[1];
  });
  return config;
}
function getCalendar_(config) {
  const id = config['Calendar ID'];
  if (id &amp;&amp; id !== 'primary') return CalendarApp.getCalendarById(id);
  return CalendarApp.getDefaultCalendar();
}
function headerMap_(headerRow) {
  const h = {};
  headerRow.forEach((name, idx) =&gt; {
    if (name) h[String(name).trim()] = idx;
  });
  return h;
}
function parseTime_(dateValue, timeText) {
  const d = new Date(dateValue);
  const parts = String(timeText).trim().split(':').map(Number);
  d.setHours(parts[0] || 0, parts[1] || 0, 0, 0);
  return d;
}
function eventDescription_(row, h) {
  return [
    `Track: ${row[h['Track']]}`,
    `Priority: ${row[h['Priority']]}`,
    '',
    'Action steps:',
    row[h['Action Steps']],
    '',
    `Expected output: ${row[h['Expected Output']]}`,
    `Success metric: ${row[h['Success Metric']]}`,
    `Asset/prospect: ${row[h['Prospect / Asset']]}`,
    '',
    `Sheet status: ${row[h['Status']]}`
  ].join('\n');
}
function resetReminder_(event, leadMins) {
  event.removeAllReminders();
  const mins = Number(leadMins || 15);
  event.addPopupReminder(mins);
}
</x:t>
        </x:is>
      </x:c>
    </x:row>
  </x:sheetData>
  <x:mergeCells>
    <x:mergeCell ref="A2:A2"/>
    <x:mergeCell ref="A1:A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8" customWidth="1"/>
    <x:col min="3" max="3" width="54" customWidth="1"/>
    <x:col min="4" max="4" width="66" customWidth="1"/>
    <x:col min="5" max="5" width="14" customWidth="1"/>
  </x:cols>
  <x:sheetData>
    <x:row r="1" ht="28" customHeight="1">
      <x:c r="A1" s="1" t="inlineStr">
        <x:is>
          <x:t xml:space="preserve">Source Notes</x:t>
        </x:is>
      </x:c>
    </x:row>
    <x:row r="2" ht="22" customHeight="1">
      <x:c r="A2" s="2" t="inlineStr">
        <x:is>
          <x:t xml:space="preserve">Research basis for the strategy. These links should be rechecked before a larger campaign.</x:t>
        </x:is>
      </x:c>
    </x:row>
    <x:row r="4">
      <x:c r="A4" s="9" t="inlineStr">
        <x:is>
          <x:t xml:space="preserve">Source</x:t>
        </x:is>
      </x:c>
      <x:c r="B4" s="9" t="inlineStr">
        <x:is>
          <x:t xml:space="preserve">Link</x:t>
        </x:is>
      </x:c>
      <x:c r="C4" s="9" t="inlineStr">
        <x:is>
          <x:t xml:space="preserve">What It Supports</x:t>
        </x:is>
      </x:c>
      <x:c r="D4" s="9" t="inlineStr">
        <x:is>
          <x:t xml:space="preserve">Planning Implication</x:t>
        </x:is>
      </x:c>
      <x:c r="E4" s="9" t="inlineStr">
        <x:is>
          <x:t xml:space="preserve">Reliability</x:t>
        </x:is>
      </x:c>
    </x:row>
    <x:row r="5">
      <x:c r="A5" s="4" t="inlineStr">
        <x:is>
          <x:t xml:space="preserve">USA Swimming</x:t>
        </x:is>
      </x:c>
      <x:c r="B5" s="4" t="inlineStr">
        <x:is>
          <x:t xml:space="preserve">https://www.usaswimming.org/find-a-team</x:t>
        </x:is>
      </x:c>
      <x:c r="C5" s="4" t="inlineStr">
        <x:is>
          <x:t xml:space="preserve">Large organized swim team ecosystem and directories.</x:t>
        </x:is>
      </x:c>
      <x:c r="D5" s="4" t="inlineStr">
        <x:is>
          <x:t xml:space="preserve">There are many swim-related organizations to target, but club/team is not the same as paid school/operator.</x:t>
        </x:is>
      </x:c>
      <x:c r="E5" s="4" t="inlineStr">
        <x:is>
          <x:t xml:space="preserve">Official</x:t>
        </x:is>
      </x:c>
    </x:row>
    <x:row r="6">
      <x:c r="A6" s="6" t="inlineStr">
        <x:is>
          <x:t xml:space="preserve">U.S. Masters Swimming</x:t>
        </x:is>
      </x:c>
      <x:c r="B6" s="6" t="inlineStr">
        <x:is>
          <x:t xml:space="preserve">https://www.usms.org/clubs</x:t>
        </x:is>
      </x:c>
      <x:c r="C6" s="6" t="inlineStr">
        <x:is>
          <x:t xml:space="preserve">Adult swim club/program ecosystem.</x:t>
        </x:is>
      </x:c>
      <x:c r="D6" s="6" t="inlineStr">
        <x:is>
          <x:t xml:space="preserve">Adult swim and triathlon-related programs are a relevant adjacent audience.</x:t>
        </x:is>
      </x:c>
      <x:c r="E6" s="6" t="inlineStr">
        <x:is>
          <x:t xml:space="preserve">Official</x:t>
        </x:is>
      </x:c>
    </x:row>
    <x:row r="7">
      <x:c r="A7" s="4" t="inlineStr">
        <x:is>
          <x:t xml:space="preserve">Jackrabbit Class</x:t>
        </x:is>
      </x:c>
      <x:c r="B7" s="4" t="inlineStr">
        <x:is>
          <x:t xml:space="preserve">https://www.jackrabbitclass.com/</x:t>
        </x:is>
      </x:c>
      <x:c r="C7" s="4" t="inlineStr">
        <x:is>
          <x:t xml:space="preserve">Youth activity businesses already buy registration, scheduling, enrollment, billing, and engagement software.</x:t>
        </x:is>
      </x:c>
      <x:c r="D7" s="4" t="inlineStr">
        <x:is>
          <x:t xml:space="preserve">Customers pay for operations tools, but there are strong incumbents. Sell implementation around the current stack, not a generic OS.</x:t>
        </x:is>
      </x:c>
      <x:c r="E7" s="4" t="inlineStr">
        <x:is>
          <x:t xml:space="preserve">Vendor</x:t>
        </x:is>
      </x:c>
    </x:row>
    <x:row r="8">
      <x:c r="A8" s="6" t="inlineStr">
        <x:is>
          <x:t xml:space="preserve">iClassPro</x:t>
        </x:is>
      </x:c>
      <x:c r="B8" s="6" t="inlineStr">
        <x:is>
          <x:t xml:space="preserve">https://www.iclasspro.com/</x:t>
        </x:is>
      </x:c>
      <x:c r="C8" s="6" t="inlineStr">
        <x:is>
          <x:t xml:space="preserve">Class/camp registration, payments, customer portal, and activity-center management.</x:t>
        </x:is>
      </x:c>
      <x:c r="D8" s="6" t="inlineStr">
        <x:is>
          <x:t xml:space="preserve">Competition is real. The wedge must be a specific leak audit and implementation, not 'software for swim schools'.</x:t>
        </x:is>
      </x:c>
      <x:c r="E8" s="6" t="inlineStr">
        <x:is>
          <x:t xml:space="preserve">Vendor</x:t>
        </x:is>
      </x:c>
    </x:row>
    <x:row r="9">
      <x:c r="A9" s="4" t="inlineStr">
        <x:is>
          <x:t xml:space="preserve">Uplifter</x:t>
        </x:is>
      </x:c>
      <x:c r="B9" s="4" t="inlineStr">
        <x:is>
          <x:t xml:space="preserve">https://www.uplifterinc.com/</x:t>
        </x:is>
      </x:c>
      <x:c r="C9" s="4" t="inlineStr">
        <x:is>
          <x:t xml:space="preserve">Sports/activity software for registration, payments, waitlists, communications, forms, and reporting.</x:t>
        </x:is>
      </x:c>
      <x:c r="D9" s="4" t="inlineStr">
        <x:is>
          <x:t xml:space="preserve">Lead-to-enrollment and admin workflows are real pains, but many buyers already have a platform.</x:t>
        </x:is>
      </x:c>
      <x:c r="E9" s="4" t="inlineStr">
        <x:is>
          <x:t xml:space="preserve">Vendor</x:t>
        </x:is>
      </x:c>
    </x:row>
    <x:row r="10">
      <x:c r="A10" s="6" t="inlineStr">
        <x:is>
          <x:t xml:space="preserve">Amilia</x:t>
        </x:is>
      </x:c>
      <x:c r="B10" s="6" t="inlineStr">
        <x:is>
          <x:t xml:space="preserve">https://www.amilia.com/</x:t>
        </x:is>
      </x:c>
      <x:c r="C10" s="6" t="inlineStr">
        <x:is>
          <x:t xml:space="preserve">Recreation/YMCA software positioning around registration, membership, operations, and admin time savings.</x:t>
        </x:is>
      </x:c>
      <x:c r="D10" s="6" t="inlineStr">
        <x:is>
          <x:t xml:space="preserve">Operational time savings and enrollment capacity are business outcomes buyers understand.</x:t>
        </x:is>
      </x:c>
      <x:c r="E10" s="6" t="inlineStr">
        <x:is>
          <x:t xml:space="preserve">Vendor</x:t>
        </x:is>
      </x:c>
    </x:row>
    <x:row r="11">
      <x:c r="A11" s="4" t="inlineStr">
        <x:is>
          <x:t xml:space="preserve">AgencyAnalytics</x:t>
        </x:is>
      </x:c>
      <x:c r="B11" s="4" t="inlineStr">
        <x:is>
          <x:t xml:space="preserve">https://agencyanalytics.com/</x:t>
        </x:is>
      </x:c>
      <x:c r="C11" s="4" t="inlineStr">
        <x:is>
          <x:t xml:space="preserve">Agencies buy reporting/dashboard automation.</x:t>
        </x:is>
      </x:c>
      <x:c r="D11" s="4" t="inlineStr">
        <x:is>
          <x:t xml:space="preserve">Agency onboarding/reporting is a credible adjacent niche and may close faster than cold swim schools.</x:t>
        </x:is>
      </x:c>
      <x:c r="E11" s="4" t="inlineStr">
        <x:is>
          <x:t xml:space="preserve">Vendor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0" customWidth="1"/>
    <x:col min="4" max="4" width="14" customWidth="1"/>
    <x:col min="5" max="5" width="24" customWidth="1"/>
  </x:cols>
  <x:sheetData>
    <x:row r="1" ht="28" customHeight="1">
      <x:c r="A1" s="1" t="inlineStr">
        <x:is>
          <x:t xml:space="preserve">Lookups</x:t>
        </x:is>
      </x:c>
    </x:row>
    <x:row r="2" ht="22" customHeight="1">
      <x:c r="A2" s="2" t="inlineStr">
        <x:is>
          <x:t xml:space="preserve">Dropdown source values.</x:t>
        </x:is>
      </x:c>
    </x:row>
    <x:row r="4">
      <x:c r="A4" s="14" t="inlineStr">
        <x:is>
          <x:t xml:space="preserve">Statuses</x:t>
        </x:is>
      </x:c>
      <x:c r="B4" s="14" t="inlineStr">
        <x:is>
          <x:t xml:space="preserve">Tracks</x:t>
        </x:is>
      </x:c>
      <x:c r="C4" s="14" t="inlineStr">
        <x:is>
          <x:t xml:space="preserve">Stages</x:t>
        </x:is>
      </x:c>
      <x:c r="D4" s="14" t="inlineStr">
        <x:is>
          <x:t xml:space="preserve">Priorities</x:t>
        </x:is>
      </x:c>
      <x:c r="E4" s="14" t="inlineStr">
        <x:is>
          <x:t xml:space="preserve">Offers</x:t>
        </x:is>
      </x:c>
    </x:row>
    <x:row r="5">
      <x:c r="A5" s="4" t="inlineStr">
        <x:is>
          <x:t xml:space="preserve">Not Started</x:t>
        </x:is>
      </x:c>
      <x:c r="B5" s="4" t="inlineStr">
        <x:is>
          <x:t xml:space="preserve">Warm Network</x:t>
        </x:is>
      </x:c>
      <x:c r="C5" s="4" t="inlineStr">
        <x:is>
          <x:t xml:space="preserve">Not Contacted</x:t>
        </x:is>
      </x:c>
      <x:c r="D5" s="4" t="inlineStr">
        <x:is>
          <x:t xml:space="preserve">P0</x:t>
        </x:is>
      </x:c>
      <x:c r="E5" s="4" t="inlineStr">
        <x:is>
          <x:t xml:space="preserve">Paid Audit</x:t>
        </x:is>
      </x:c>
    </x:row>
    <x:row r="6">
      <x:c r="A6" s="6" t="inlineStr">
        <x:is>
          <x:t xml:space="preserve">In Progress</x:t>
        </x:is>
      </x:c>
      <x:c r="B6" s="6" t="inlineStr">
        <x:is>
          <x:t xml:space="preserve">Agency/Operator</x:t>
        </x:is>
      </x:c>
      <x:c r="C6" s="6" t="inlineStr">
        <x:is>
          <x:t xml:space="preserve">Messaged</x:t>
        </x:is>
      </x:c>
      <x:c r="D6" s="6" t="inlineStr">
        <x:is>
          <x:t xml:space="preserve">P1</x:t>
        </x:is>
      </x:c>
      <x:c r="E6" s="6" t="inlineStr">
        <x:is>
          <x:t xml:space="preserve">Implementation Sprint</x:t>
        </x:is>
      </x:c>
    </x:row>
    <x:row r="7">
      <x:c r="A7" s="4" t="inlineStr">
        <x:is>
          <x:t xml:space="preserve">Waiting</x:t>
        </x:is>
      </x:c>
      <x:c r="B7" s="4" t="inlineStr">
        <x:is>
          <x:t xml:space="preserve">Swim/Sports Niche</x:t>
        </x:is>
      </x:c>
      <x:c r="C7" s="4" t="inlineStr">
        <x:is>
          <x:t xml:space="preserve">Replied</x:t>
        </x:is>
      </x:c>
      <x:c r="D7" s="4" t="inlineStr">
        <x:is>
          <x:t xml:space="preserve">P2</x:t>
        </x:is>
      </x:c>
      <x:c r="E7" s="4" t="inlineStr">
        <x:is>
          <x:t xml:space="preserve">Referral Ask</x:t>
        </x:is>
      </x:c>
    </x:row>
    <x:row r="8">
      <x:c r="A8" s="6" t="inlineStr">
        <x:is>
          <x:t xml:space="preserve">Done</x:t>
        </x:is>
      </x:c>
      <x:c r="B8" s="6" t="inlineStr">
        <x:is>
          <x:t xml:space="preserve">Corporate Wellness</x:t>
        </x:is>
      </x:c>
      <x:c r="C8" s="6" t="inlineStr">
        <x:is>
          <x:t xml:space="preserve">Call Booked</x:t>
        </x:is>
      </x:c>
      <x:c r="D8" s="6" t="n"/>
      <x:c r="E8" s="6" t="inlineStr">
        <x:is>
          <x:t xml:space="preserve">Corporate Intro</x:t>
        </x:is>
      </x:c>
    </x:row>
    <x:row r="9">
      <x:c r="A9" s="4" t="inlineStr">
        <x:is>
          <x:t xml:space="preserve">Skipped</x:t>
        </x:is>
      </x:c>
      <x:c r="B9" s="4" t="inlineStr">
        <x:is>
          <x:t xml:space="preserve">StrokeLab</x:t>
        </x:is>
      </x:c>
      <x:c r="C9" s="4" t="inlineStr">
        <x:is>
          <x:t xml:space="preserve">Call Held</x:t>
        </x:is>
      </x:c>
      <x:c r="D9" s="4" t="n"/>
      <x:c r="E9" s="4" t="inlineStr">
        <x:is>
          <x:t xml:space="preserve">Digital Product</x:t>
        </x:is>
      </x:c>
    </x:row>
    <x:row r="10">
      <x:c r="A10" s="6" t="n"/>
      <x:c r="B10" s="6" t="inlineStr">
        <x:is>
          <x:t xml:space="preserve">Admin/Review</x:t>
        </x:is>
      </x:c>
      <x:c r="C10" s="6" t="inlineStr">
        <x:is>
          <x:t xml:space="preserve">Proposal Sent</x:t>
        </x:is>
      </x:c>
      <x:c r="D10" s="6" t="n"/>
      <x:c r="E10" s="6" t="inlineStr">
        <x:is>
          <x:t xml:space="preserve">Other</x:t>
        </x:is>
      </x:c>
    </x:row>
    <x:row r="11">
      <x:c r="A11" s="4" t="n"/>
      <x:c r="B11" s="4" t="inlineStr">
        <x:is>
          <x:t xml:space="preserve">Strategy</x:t>
        </x:is>
      </x:c>
      <x:c r="C11" s="4" t="inlineStr">
        <x:is>
          <x:t xml:space="preserve">Paid Audit</x:t>
        </x:is>
      </x:c>
      <x:c r="D11" s="4" t="n"/>
      <x:c r="E11" s="4" t="n"/>
    </x:row>
    <x:row r="12">
      <x:c r="A12" s="6" t="n"/>
      <x:c r="B12" s="6" t="inlineStr">
        <x:is>
          <x:t xml:space="preserve">Proof</x:t>
        </x:is>
      </x:c>
      <x:c r="C12" s="6" t="inlineStr">
        <x:is>
          <x:t xml:space="preserve">Sprint Won</x:t>
        </x:is>
      </x:c>
      <x:c r="D12" s="6" t="n"/>
      <x:c r="E12" s="6" t="n"/>
    </x:row>
    <x:row r="13">
      <x:c r="A13" s="4" t="n"/>
      <x:c r="B13" s="4" t="inlineStr">
        <x:is>
          <x:t xml:space="preserve">Closing</x:t>
        </x:is>
      </x:c>
      <x:c r="C13" s="4" t="inlineStr">
        <x:is>
          <x:t xml:space="preserve">Lost</x:t>
        </x:is>
      </x:c>
      <x:c r="D13" s="4" t="n"/>
      <x:c r="E13" s="4" t="n"/>
    </x:row>
    <x:row r="14">
      <x:c r="A14" s="6" t="n"/>
      <x:c r="B14" s="6" t="inlineStr">
        <x:is>
          <x:t xml:space="preserve">Delivery/Closing</x:t>
        </x:is>
      </x:c>
      <x:c r="C14" s="6" t="inlineStr">
        <x:is>
          <x:t xml:space="preserve">Nurture</x:t>
        </x:is>
      </x:c>
      <x:c r="D14" s="6" t="n"/>
      <x:c r="E14" s="6" t="n"/>
    </x:row>
    <x:row r="15">
      <x:c r="A15" s="4" t="n"/>
      <x:c r="B15" s="4" t="inlineStr">
        <x:is>
          <x:t xml:space="preserve">Other</x:t>
        </x:is>
      </x:c>
      <x:c r="C15" s="4" t="n"/>
      <x:c r="D15" s="4" t="n"/>
      <x:c r="E15" s="4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24.440000534057617" hidden="0" customWidth="1"/>
    <x:col min="3" max="3" width="18.889999389648438" hidden="0" customWidth="1"/>
    <x:col min="4" max="4" width="26.110000610351562" hidden="0" customWidth="1"/>
    <x:col min="5" max="5" width="17.219999313354492" hidden="0" customWidth="1"/>
    <x:col min="6" max="6" width="26.110000610351562" hidden="0" customWidth="1"/>
  </x:cols>
  <x:sheetData>
    <x:row r="1" ht="25.5" customHeight="1">
      <x:c r="A1" s="50" t="str">
        <x:v>Start Here: $1,500-$2,000 Immediate Cash System</x:v>
      </x:c>
      <x:c r="B1" s="50"/>
      <x:c r="C1" s="50"/>
      <x:c r="D1" s="50"/>
      <x:c r="E1" s="50"/>
      <x:c r="F1" s="50"/>
    </x:row>
    <x:row r="2" ht="24" customHeight="1">
      <x:c r="A2" s="54" t="str">
        <x:v>Use this sheet every morning. The workbook supports execution; it does not replace daily conversations, follow-ups, calls, and paid asks.</x:v>
      </x:c>
      <x:c r="B2" s="54"/>
      <x:c r="C2" s="54"/>
      <x:c r="D2" s="54"/>
      <x:c r="E2" s="54"/>
      <x:c r="F2" s="54"/>
    </x:row>
    <x:row r="4" ht="19.5" customHeight="1">
      <x:c r="A4" s="57" t="str">
        <x:v>1. Cash Rule</x:v>
      </x:c>
      <x:c r="B4" s="57"/>
      <x:c r="C4" s="57"/>
      <x:c r="D4" s="57"/>
      <x:c r="E4" s="57"/>
      <x:c r="F4" s="57"/>
    </x:row>
    <x:row r="5">
      <x:c r="A5" s="66" t="str">
        <x:v>Urgent floor</x:v>
      </x:c>
      <x:c r="B5" s="63" t="n">
        <x:v>1500</x:v>
      </x:c>
      <x:c r="C5" s="64" t="str">
        <x:v>Target</x:v>
      </x:c>
      <x:c r="D5" s="63" t="n">
        <x:v>2000</x:v>
      </x:c>
      <x:c r="E5" s="64" t="str">
        <x:v>Deadline</x:v>
      </x:c>
      <x:c r="F5" s="65" t="n">
        <x:v>46234.458333333336</x:v>
      </x:c>
    </x:row>
    <x:row r="6">
      <x:c r="A6" s="66" t="str">
        <x:v>Primary path</x:v>
      </x:c>
      <x:c r="B6" s="64" t="str">
        <x:v>Warm-network tech/ops work</x:v>
      </x:c>
      <x:c r="C6" s="64" t="str">
        <x:v>Secondary</x:v>
      </x:c>
      <x:c r="D6" s="64" t="str">
        <x:v>Agency/operator work</x:v>
      </x:c>
      <x:c r="E6" s="64" t="str">
        <x:v>Controlled test</x:v>
      </x:c>
      <x:c r="F6" s="64" t="str">
        <x:v>Swim/sports paid audit</x:v>
      </x:c>
    </x:row>
    <x:row r="7">
      <x:c r="A7" s="66" t="str">
        <x:v>Fast offers</x:v>
      </x:c>
      <x:c r="B7" s="64" t="str">
        <x:v>$400 paid audit</x:v>
      </x:c>
      <x:c r="C7" s="64" t="str">
        <x:v>Main offer</x:v>
      </x:c>
      <x:c r="D7" s="64" t="str">
        <x:v>$1,500-$2,500 sprint</x:v>
      </x:c>
      <x:c r="E7" s="64" t="str">
        <x:v>Platform rule</x:v>
      </x:c>
      <x:c r="F7" s="64" t="str">
        <x:v>Apply truthfully; never spoof location.</x:v>
      </x:c>
    </x:row>
    <x:row r="8">
      <x:c r="A8" s="66" t="str">
        <x:v>Decision rule</x:v>
      </x:c>
      <x:c r="B8" s="64" t="str">
        <x:v>A conversation, call, proposal, deposit, or useful rejection is progress. Research without outreach is preparation, not progress.</x:v>
      </x:c>
      <x:c r="C8" s="64"/>
      <x:c r="D8" s="64"/>
      <x:c r="E8" s="64"/>
      <x:c r="F8" s="64"/>
    </x:row>
    <x:row r="10" ht="19.5" customHeight="1">
      <x:c r="A10" s="57" t="str">
        <x:v>2. Swim/Sports Conversion Path</x:v>
      </x:c>
      <x:c r="B10" s="57"/>
      <x:c r="C10" s="57"/>
      <x:c r="D10" s="57"/>
      <x:c r="E10" s="57"/>
      <x:c r="F10" s="57"/>
    </x:row>
    <x:row r="11" ht="30" customHeight="1">
      <x:c r="A11" s="23" t="str">
        <x:v>Step</x:v>
      </x:c>
      <x:c r="B11" s="23" t="str">
        <x:v>Your Goal</x:v>
      </x:c>
      <x:c r="C11" s="23" t="str">
        <x:v>Workbook Sheet</x:v>
      </x:c>
      <x:c r="D11" s="23" t="str">
        <x:v>Required Output</x:v>
      </x:c>
      <x:c r="E11" s="23" t="str">
        <x:v>Exit Condition</x:v>
      </x:c>
      <x:c r="F11" s="23" t="str">
        <x:v>Do Not Do</x:v>
      </x:c>
    </x:row>
    <x:row r="12">
      <x:c r="A12" s="37" t="n">
        <x:v>1</x:v>
      </x:c>
      <x:c r="B12" s="38" t="str">
        <x:v>Choose a real operating unit</x:v>
      </x:c>
      <x:c r="C12" s="38" t="str">
        <x:v>Swim Research</x:v>
      </x:c>
      <x:c r="D12" s="38" t="str">
        <x:v>Specific location, franchise, or company</x:v>
      </x:c>
      <x:c r="E12" s="38" t="str">
        <x:v>Commercial operation found</x:v>
      </x:c>
      <x:c r="F12" s="39" t="str">
        <x:v>Do not target a logo without a buyer.</x:v>
      </x:c>
    </x:row>
    <x:row r="13">
      <x:c r="A13" s="40" t="n">
        <x:v>2</x:v>
      </x:c>
      <x:c r="B13" s="41" t="str">
        <x:v>Review the customer journey</x:v>
      </x:c>
      <x:c r="C13" s="41" t="str">
        <x:v>Swim Research + Friction Library</x:v>
      </x:c>
      <x:c r="D13" s="41" t="str">
        <x:v>Observed friction IDs and evidence</x:v>
      </x:c>
      <x:c r="E13" s="41" t="str">
        <x:v>One credible hypothesis</x:v>
      </x:c>
      <x:c r="F13" s="42" t="str">
        <x:v>Do not submit registration, waivers, payment, or personal data.</x:v>
      </x:c>
    </x:row>
    <x:row r="14">
      <x:c r="A14" s="40" t="n">
        <x:v>3</x:v>
      </x:c>
      <x:c r="B14" s="41" t="str">
        <x:v>Find the buyer</x:v>
      </x:c>
      <x:c r="C14" s="41" t="str">
        <x:v>Swim Research</x:v>
      </x:c>
      <x:c r="D14" s="41" t="str">
        <x:v>Named owner/operator and contact route</x:v>
      </x:c>
      <x:c r="E14" s="41" t="str">
        <x:v>Reachability score at least 1</x:v>
      </x:c>
      <x:c r="F14" s="42" t="str">
        <x:v>Do not rely only on info@ email.</x:v>
      </x:c>
    </x:row>
    <x:row r="15">
      <x:c r="A15" s="40" t="n">
        <x:v>4</x:v>
      </x:c>
      <x:c r="B15" s="41" t="str">
        <x:v>Qualify</x:v>
      </x:c>
      <x:c r="C15" s="41" t="str">
        <x:v>Swim Research</x:v>
      </x:c>
      <x:c r="D15" s="41" t="str">
        <x:v>Score and automatic decision</x:v>
      </x:c>
      <x:c r="E15" s="41" t="str">
        <x:v>CONTACT NOW or RESEARCH MORE</x:v>
      </x:c>
      <x:c r="F15" s="42" t="str">
        <x:v>Do not message rows marked REPLACE.</x:v>
      </x:c>
    </x:row>
    <x:row r="16">
      <x:c r="A16" s="40" t="n">
        <x:v>5</x:v>
      </x:c>
      <x:c r="B16" s="41" t="str">
        <x:v>Start a conversation</x:v>
      </x:c>
      <x:c r="C16" s="41" t="str">
        <x:v>Lead Audit</x:v>
      </x:c>
      <x:c r="D16" s="41" t="str">
        <x:v>Permission to share one observation</x:v>
      </x:c>
      <x:c r="E16" s="41" t="str">
        <x:v>Reply or useful rejection</x:v>
      </x:c>
      <x:c r="F16" s="42" t="str">
        <x:v>Do not send a full free audit.</x:v>
      </x:c>
    </x:row>
    <x:row r="17">
      <x:c r="A17" s="40" t="n">
        <x:v>6</x:v>
      </x:c>
      <x:c r="B17" s="41" t="str">
        <x:v>Sell the diagnostic</x:v>
      </x:c>
      <x:c r="C17" s="41" t="str">
        <x:v>Lead Audit</x:v>
      </x:c>
      <x:c r="D17" s="41" t="str">
        <x:v>$400 paid audit</x:v>
      </x:c>
      <x:c r="E17" s="41" t="str">
        <x:v>Payment received</x:v>
      </x:c>
      <x:c r="F17" s="42" t="str">
        <x:v>Do not begin the full audit before payment.</x:v>
      </x:c>
    </x:row>
    <x:row r="19" ht="19.5" customHeight="1">
      <x:c r="A19" s="57" t="str">
        <x:v>3. Qualification Score</x:v>
      </x:c>
      <x:c r="B19" s="57"/>
      <x:c r="C19" s="57"/>
      <x:c r="D19" s="57"/>
      <x:c r="E19" s="57"/>
      <x:c r="F19" s="57"/>
    </x:row>
    <x:row r="20" ht="30" customHeight="1">
      <x:c r="A20" s="23" t="str">
        <x:v>Criterion</x:v>
      </x:c>
      <x:c r="B20" s="23" t="str">
        <x:v>0</x:v>
      </x:c>
      <x:c r="C20" s="23" t="str">
        <x:v>1</x:v>
      </x:c>
      <x:c r="D20" s="23" t="str">
        <x:v>2</x:v>
      </x:c>
      <x:c r="E20" s="23" t="str">
        <x:v>Workbook Field</x:v>
      </x:c>
      <x:c r="F20" s="23" t="str">
        <x:v>Purpose</x:v>
      </x:c>
    </x:row>
    <x:row r="21">
      <x:c r="A21" s="37" t="str">
        <x:v>Decision maker reachability</x:v>
      </x:c>
      <x:c r="B21" s="38" t="str">
        <x:v>No person or route</x:v>
      </x:c>
      <x:c r="C21" s="38" t="str">
        <x:v>Role or generic route</x:v>
      </x:c>
      <x:c r="D21" s="38" t="str">
        <x:v>Named buyer + direct route</x:v>
      </x:c>
      <x:c r="E21" s="38" t="str">
        <x:v>Reachability</x:v>
      </x:c>
      <x:c r="F21" s="39" t="str">
        <x:v>Can you reach the person who can approve $400?</x:v>
      </x:c>
    </x:row>
    <x:row r="22">
      <x:c r="A22" s="40" t="str">
        <x:v>Operational volume</x:v>
      </x:c>
      <x:c r="B22" s="41" t="str">
        <x:v>Solo/volunteer/tiny</x:v>
      </x:c>
      <x:c r="C22" s="41" t="str">
        <x:v>Small commercial operation</x:v>
      </x:c>
      <x:c r="D22" s="41" t="str">
        <x:v>Several instructors/classes/locations</x:v>
      </x:c>
      <x:c r="E22" s="41" t="str">
        <x:v>Volume</x:v>
      </x:c>
      <x:c r="F22" s="42" t="str">
        <x:v>Is the workflow repeated enough to matter?</x:v>
      </x:c>
    </x:row>
    <x:row r="23">
      <x:c r="A23" s="40" t="str">
        <x:v>Budget evidence</x:v>
      </x:c>
      <x:c r="B23" s="41" t="str">
        <x:v>No commercial evidence</x:v>
      </x:c>
      <x:c r="C23" s="41" t="str">
        <x:v>Commercial but uncertain</x:v>
      </x:c>
      <x:c r="D23" s="41" t="str">
        <x:v>Scale/pricing suggests ability to pay</x:v>
      </x:c>
      <x:c r="E23" s="41" t="str">
        <x:v>Budget</x:v>
      </x:c>
      <x:c r="F23" s="42" t="str">
        <x:v>Could the buyer reasonably fund the audit?</x:v>
      </x:c>
    </x:row>
    <x:row r="24">
      <x:c r="A24" s="40" t="str">
        <x:v>Pain + relevance</x:v>
      </x:c>
      <x:c r="B24" s="41" t="str">
        <x:v>Generic guess</x:v>
      </x:c>
      <x:c r="C24" s="41" t="str">
        <x:v>Plausible hypothesis</x:v>
      </x:c>
      <x:c r="D24" s="41" t="str">
        <x:v>Clear evidence + unique reason</x:v>
      </x:c>
      <x:c r="E24" s="41" t="str">
        <x:v>Pain Evidence + Relevance</x:v>
      </x:c>
      <x:c r="F24" s="42" t="str">
        <x:v>Is your message grounded and specific?</x:v>
      </x:c>
    </x:row>
    <x:row r="26" ht="19.5" customHeight="1">
      <x:c r="A26" s="57" t="str">
        <x:v>4. Score Decision</x:v>
      </x:c>
      <x:c r="B26" s="57"/>
      <x:c r="C26" s="57"/>
      <x:c r="D26" s="57"/>
      <x:c r="E26" s="57"/>
      <x:c r="F26" s="57"/>
    </x:row>
    <x:row r="27" ht="30" customHeight="1">
      <x:c r="A27" s="71" t="str">
        <x:v>Score</x:v>
      </x:c>
      <x:c r="B27" s="71" t="str">
        <x:v>Decision</x:v>
      </x:c>
      <x:c r="C27" s="71" t="str">
        <x:v>Meaning</x:v>
      </x:c>
      <x:c r="D27" s="71" t="str">
        <x:v>Next Action</x:v>
      </x:c>
      <x:c r="E27" s="71" t="str">
        <x:v>Time</x:v>
      </x:c>
      <x:c r="F27" s="71" t="str">
        <x:v>Notes</x:v>
      </x:c>
    </x:row>
    <x:row r="28">
      <x:c r="A28" s="37" t="str">
        <x:v>8-10</x:v>
      </x:c>
      <x:c r="B28" s="38" t="str">
        <x:v>CONTACT NOW</x:v>
      </x:c>
      <x:c r="C28" s="38" t="str">
        <x:v>Qualified and specific</x:v>
      </x:c>
      <x:c r="D28" s="38" t="str">
        <x:v>Send personalized opener today</x:v>
      </x:c>
      <x:c r="E28" s="38" t="str">
        <x:v>Same day</x:v>
      </x:c>
      <x:c r="F28" s="39" t="str">
        <x:v>Must also have reachability and pain evidence.</x:v>
      </x:c>
    </x:row>
    <x:row r="29">
      <x:c r="A29" s="40" t="str">
        <x:v>6-7</x:v>
      </x:c>
      <x:c r="B29" s="41" t="str">
        <x:v>RESEARCH MORE</x:v>
      </x:c>
      <x:c r="C29" s="41" t="str">
        <x:v>Promising but incomplete</x:v>
      </x:c>
      <x:c r="D29" s="41" t="str">
        <x:v>Find buyer or stronger evidence</x:v>
      </x:c>
      <x:c r="E29" s="41" t="str">
        <x:v>10 more minutes</x:v>
      </x:c>
      <x:c r="F29" s="42" t="str">
        <x:v>Do not endlessly research.</x:v>
      </x:c>
    </x:row>
    <x:row r="30">
      <x:c r="A30" s="40" t="str">
        <x:v>0-5</x:v>
      </x:c>
      <x:c r="B30" s="41" t="str">
        <x:v>REPLACE</x:v>
      </x:c>
      <x:c r="C30" s="41" t="str">
        <x:v>Weak July prospect</x:v>
      </x:c>
      <x:c r="D30" s="41" t="str">
        <x:v>Replace with smaller/reachable operator</x:v>
      </x:c>
      <x:c r="E30" s="41" t="str">
        <x:v>Immediately</x:v>
      </x:c>
      <x:c r="F30" s="42" t="str">
        <x:v>The seed list is disposable.</x:v>
      </x:c>
    </x:row>
  </x:sheetData>
  <x:mergeCells>
    <x:mergeCell ref="A1:F1"/>
    <x:mergeCell ref="A2:F2"/>
    <x:mergeCell ref="A4:F4"/>
    <x:mergeCell ref="A10:F10"/>
    <x:mergeCell ref="A19:F19"/>
    <x:mergeCell ref="A26:F2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9.4399995803833" hidden="0" customWidth="1"/>
    <x:col min="4" max="4" width="20" hidden="0" customWidth="1"/>
    <x:col min="5" max="5" width="23.329999923706055" hidden="0" customWidth="1"/>
    <x:col min="6" max="6" width="11.109999656677246" hidden="0" customWidth="1"/>
    <x:col min="7" max="7" width="16.670000076293945" hidden="0" customWidth="1"/>
    <x:col min="8" max="8" width="13.890000343322754" hidden="0" customWidth="1"/>
    <x:col min="9" max="9" width="23.329999923706055" hidden="0" customWidth="1"/>
    <x:col min="10" max="10" width="10" hidden="0" customWidth="1"/>
    <x:col min="11" max="11" width="23.329999923706055" hidden="0" customWidth="1"/>
    <x:col min="12" max="12" width="8.890000343322754" hidden="0" customWidth="1"/>
    <x:col min="13" max="13" width="23.329999923706055" hidden="0" customWidth="1"/>
    <x:col min="14" max="14" width="8.890000343322754" hidden="0" customWidth="1"/>
    <x:col min="15" max="15" width="10.220000267028809" hidden="0" customWidth="1"/>
    <x:col min="16" max="16" width="11.109999656677246" hidden="0" customWidth="1"/>
    <x:col min="17" max="17" width="10" hidden="0" customWidth="1"/>
    <x:col min="18" max="18" width="10.220000267028809" hidden="0" customWidth="1"/>
    <x:col min="19" max="19" width="11.109999656677246" hidden="0" customWidth="1"/>
    <x:col min="20" max="20" width="11.670000076293945" hidden="0" customWidth="1"/>
    <x:col min="21" max="21" width="11.670000076293945" hidden="0" customWidth="1"/>
    <x:col min="22" max="22" width="11.109999656677246" hidden="0" customWidth="1"/>
    <x:col min="23" max="23" width="9.4399995803833" hidden="0" customWidth="1"/>
    <x:col min="24" max="24" width="10" hidden="0" customWidth="1"/>
    <x:col min="25" max="25" width="12.220000267028809" hidden="0" customWidth="1"/>
    <x:col min="26" max="26" width="28.889999389648438" hidden="0" customWidth="1"/>
    <x:col min="27" max="27" width="26.670000076293945" hidden="0" customWidth="1"/>
    <x:col min="28" max="28" width="9.4399995803833" hidden="0" customWidth="1"/>
    <x:col min="29" max="29" width="10.5600004196167" hidden="0" customWidth="1"/>
    <x:col min="30" max="30" width="13.329999923706055" hidden="0" customWidth="1"/>
    <x:col min="31" max="31" width="25.559999465942383" hidden="0" customWidth="1"/>
    <x:col min="32" max="32" width="12.220000267028809" hidden="0" customWidth="1"/>
    <x:col min="33" max="33" width="11.109999656677246" hidden="0" customWidth="1"/>
    <x:col min="34" max="34" width="11.670000076293945" hidden="0" customWidth="1"/>
    <x:col min="35" max="35" width="28.889999389648438" hidden="0" customWidth="1"/>
  </x:cols>
  <x:sheetData>
    <x:row r="1" ht="25.5" customHeight="1">
      <x:c r="A1" s="50" t="str">
        <x:v>Swim/Sports Prospect Research &amp; Qualification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  <x:c r="AA1" s="50"/>
      <x:c r="AB1" s="50"/>
      <x:c r="AC1" s="50"/>
      <x:c r="AD1" s="50"/>
      <x:c r="AE1" s="50"/>
      <x:c r="AF1" s="50"/>
      <x:c r="AG1" s="50"/>
      <x:c r="AH1" s="50"/>
      <x:c r="AI1" s="50"/>
    </x:row>
    <x:row r="2" ht="24" customHeight="1">
      <x:c r="A2" s="54" t="str">
        <x:v>Review only: follow the public customer journey, but do not submit registration, personal data, a waiver, or payment. Stop before any final submission.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</x:row>
    <x:row r="4" ht="30" customHeight="1">
      <x:c r="A4" s="23" t="str">
        <x:v>Prospect</x:v>
      </x:c>
      <x:c r="B4" s="23" t="str">
        <x:v>Segment</x:v>
      </x:c>
      <x:c r="C4" s="23" t="str">
        <x:v>Market</x:v>
      </x:c>
      <x:c r="D4" s="23" t="str">
        <x:v>Target Location / Unit</x:v>
      </x:c>
      <x:c r="E4" s="23" t="str">
        <x:v>Website</x:v>
      </x:c>
      <x:c r="F4" s="23" t="str">
        <x:v>Review Status</x:v>
      </x:c>
      <x:c r="G4" s="23" t="str">
        <x:v>Decision Maker</x:v>
      </x:c>
      <x:c r="H4" s="23" t="str">
        <x:v>Role</x:v>
      </x:c>
      <x:c r="I4" s="23" t="str">
        <x:v>Contact / LinkedIn</x:v>
      </x:c>
      <x:c r="J4" s="23" t="str">
        <x:v>Reachability (0-2)</x:v>
      </x:c>
      <x:c r="K4" s="23" t="str">
        <x:v>Volume Evidence</x:v>
      </x:c>
      <x:c r="L4" s="23" t="str">
        <x:v>Volume (0-2)</x:v>
      </x:c>
      <x:c r="M4" s="23" t="str">
        <x:v>Budget Evidence</x:v>
      </x:c>
      <x:c r="N4" s="23" t="str">
        <x:v>Budget (0-2)</x:v>
      </x:c>
      <x:c r="O4" s="23" t="str">
        <x:v>CTA / Offer Clarity (0-2)</x:v>
      </x:c>
      <x:c r="P4" s="23" t="str">
        <x:v>Pricing / Availability (0-2)</x:v>
      </x:c>
      <x:c r="Q4" s="23" t="str">
        <x:v>Inquiry Form (0-2)</x:v>
      </x:c>
      <x:c r="R4" s="23" t="str">
        <x:v>Assessment / Trial (0-2)</x:v>
      </x:c>
      <x:c r="S4" s="23" t="str">
        <x:v>Level / Location Match (0-2)</x:v>
      </x:c>
      <x:c r="T4" s="23" t="str">
        <x:v>Registration / Payment (0-2)</x:v>
      </x:c>
      <x:c r="U4" s="23" t="str">
        <x:v>Confirmation / Follow-up (0-2)</x:v>
      </x:c>
      <x:c r="V4" s="23" t="str">
        <x:v>Waitlist / Reschedule (0-2)</x:v>
      </x:c>
      <x:c r="W4" s="23" t="str">
        <x:v>Friction Total</x:v>
      </x:c>
      <x:c r="X4" s="23" t="str">
        <x:v>Pain Evidence (0-2)</x:v>
      </x:c>
      <x:c r="Y4" s="23" t="str">
        <x:v>Top Friction ID(s)</x:v>
      </x:c>
      <x:c r="Z4" s="23" t="str">
        <x:v>Specific Pain Hypothesis</x:v>
      </x:c>
      <x:c r="AA4" s="23" t="str">
        <x:v>Personalized Reason</x:v>
      </x:c>
      <x:c r="AB4" s="23" t="str">
        <x:v>Relevance (0-2)</x:v>
      </x:c>
      <x:c r="AC4" s="23" t="str">
        <x:v>Qualification Score</x:v>
      </x:c>
      <x:c r="AD4" s="23" t="str">
        <x:v>Decision</x:v>
      </x:c>
      <x:c r="AE4" s="23" t="str">
        <x:v>Next Action</x:v>
      </x:c>
      <x:c r="AF4" s="23" t="str">
        <x:v>Stage</x:v>
      </x:c>
      <x:c r="AG4" s="23" t="str">
        <x:v>Last Touch</x:v>
      </x:c>
      <x:c r="AH4" s="23" t="str">
        <x:v>Follow-up Date</x:v>
      </x:c>
      <x:c r="AI4" s="23" t="str">
        <x:v>Notes</x:v>
      </x:c>
    </x:row>
    <x:row r="5">
      <x:c r="A5" s="37" t="str">
        <x:v>Goldfish Swim School</x:v>
      </x:c>
      <x:c r="B5" s="38" t="str">
        <x:v>Swim school</x:v>
      </x:c>
      <x:c r="C5" s="38" t="str">
        <x:v>US</x:v>
      </x:c>
      <x:c r="D5" s="72"/>
      <x:c r="E5" s="72" t="str">
        <x:v>https://goldfishswimschool.com/</x:v>
      </x:c>
      <x:c r="F5" s="72" t="str">
        <x:v>Not Started</x:v>
      </x:c>
      <x:c r="G5" s="72"/>
      <x:c r="H5" s="72"/>
      <x:c r="I5" s="72"/>
      <x:c r="J5" s="80"/>
      <x:c r="K5" s="72"/>
      <x:c r="L5" s="80"/>
      <x:c r="M5" s="72"/>
      <x:c r="N5" s="80"/>
      <x:c r="O5" s="80"/>
      <x:c r="P5" s="80"/>
      <x:c r="Q5" s="80"/>
      <x:c r="R5" s="80"/>
      <x:c r="S5" s="80"/>
      <x:c r="T5" s="80"/>
      <x:c r="U5" s="80"/>
      <x:c r="V5" s="80"/>
      <x:c r="W5" s="82" t="n">
        <x:f>IF(A5="","",SUM(O5:V5))</x:f>
        <x:v>0</x:v>
      </x:c>
      <x:c r="X5" s="82" t="n">
        <x:f>IF(A5="","",IF(W5&gt;=8,2,IF(W5&gt;=3,1,0)))</x:f>
        <x:v>0</x:v>
      </x:c>
      <x:c r="Y5" s="72"/>
      <x:c r="Z5" s="72"/>
      <x:c r="AA5" s="72"/>
      <x:c r="AB5" s="80"/>
      <x:c r="AC5" s="84" t="n">
        <x:f>IF(A5="","",SUM(J5,L5,N5,X5,AB5))</x:f>
        <x:v>0</x:v>
      </x:c>
      <x:c r="AD5" s="84" t="str">
        <x:f>IF(A5="","",IF(F5&lt;&gt;"Reviewed","REVIEW",IF(AND(AC5&gt;=8,J5&gt;=1,X5&gt;=1),"CONTACT NOW",IF(AC5&gt;=6,"RESEARCH MORE","REPLACE"))))</x:f>
        <x:v>REVIEW</x:v>
      </x:c>
      <x:c r="AE5" s="72" t="str">
        <x:v>Choose a specific location/unit, review the journey, and identify a buyer.</x:v>
      </x:c>
      <x:c r="AF5" s="72" t="str">
        <x:v>Not Contacted</x:v>
      </x:c>
      <x:c r="AG5" s="86"/>
      <x:c r="AH5" s="86"/>
      <x:c r="AI5" s="74" t="str">
        <x:v>Starter hypothesis only: Assessment, registration portal, class levels, multiple locations, make-up lessons. Verify before using it in outreach.</x:v>
      </x:c>
    </x:row>
    <x:row r="6">
      <x:c r="A6" s="40" t="str">
        <x:v>British Swim School</x:v>
      </x:c>
      <x:c r="B6" s="41" t="str">
        <x:v>Swim school</x:v>
      </x:c>
      <x:c r="C6" s="41" t="str">
        <x:v>US</x:v>
      </x:c>
      <x:c r="D6" s="73"/>
      <x:c r="E6" s="73" t="str">
        <x:v>https://britishswimschool.com/</x:v>
      </x:c>
      <x:c r="F6" s="73" t="str">
        <x:v>Not Started</x:v>
      </x:c>
      <x:c r="G6" s="73"/>
      <x:c r="H6" s="73"/>
      <x:c r="I6" s="73"/>
      <x:c r="J6" s="81"/>
      <x:c r="K6" s="73"/>
      <x:c r="L6" s="81"/>
      <x:c r="M6" s="73"/>
      <x:c r="N6" s="81"/>
      <x:c r="O6" s="81"/>
      <x:c r="P6" s="81"/>
      <x:c r="Q6" s="81"/>
      <x:c r="R6" s="81"/>
      <x:c r="S6" s="81"/>
      <x:c r="T6" s="81"/>
      <x:c r="U6" s="81"/>
      <x:c r="V6" s="81"/>
      <x:c r="W6" s="83" t="n">
        <x:f>IF(A6="","",SUM(O6:V6))</x:f>
        <x:v>0</x:v>
      </x:c>
      <x:c r="X6" s="83" t="n">
        <x:f>IF(A6="","",IF(W6&gt;=8,2,IF(W6&gt;=3,1,0)))</x:f>
        <x:v>0</x:v>
      </x:c>
      <x:c r="Y6" s="73"/>
      <x:c r="Z6" s="73"/>
      <x:c r="AA6" s="73"/>
      <x:c r="AB6" s="81"/>
      <x:c r="AC6" s="85" t="n">
        <x:f>IF(A6="","",SUM(J6,L6,N6,X6,AB6))</x:f>
        <x:v>0</x:v>
      </x:c>
      <x:c r="AD6" s="85" t="str">
        <x:f>IF(A6="","",IF(F6&lt;&gt;"Reviewed","REVIEW",IF(AND(AC6&gt;=8,J6&gt;=1,X6&gt;=1),"CONTACT NOW",IF(AC6&gt;=6,"RESEARCH MORE","REPLACE"))))</x:f>
        <x:v>REVIEW</x:v>
      </x:c>
      <x:c r="AE6" s="73" t="str">
        <x:v>Choose a specific location/unit, review the journey, and identify a buyer.</x:v>
      </x:c>
      <x:c r="AF6" s="73" t="str">
        <x:v>Not Contacted</x:v>
      </x:c>
      <x:c r="AG6" s="87"/>
      <x:c r="AH6" s="87"/>
      <x:c r="AI6" s="75" t="str">
        <x:v>Starter hypothesis only: Location finder, swim assessment, programs for children/adults/adaptive aquatics. Verify before using it in outreach.</x:v>
      </x:c>
    </x:row>
    <x:row r="7">
      <x:c r="A7" s="40" t="str">
        <x:v>Aqua-Tots Swim Schools</x:v>
      </x:c>
      <x:c r="B7" s="41" t="str">
        <x:v>Swim school</x:v>
      </x:c>
      <x:c r="C7" s="41" t="str">
        <x:v>US</x:v>
      </x:c>
      <x:c r="D7" s="73"/>
      <x:c r="E7" s="73" t="str">
        <x:v>https://www.aqua-tots.com/</x:v>
      </x:c>
      <x:c r="F7" s="73" t="str">
        <x:v>Not Started</x:v>
      </x:c>
      <x:c r="G7" s="73"/>
      <x:c r="H7" s="73"/>
      <x:c r="I7" s="73"/>
      <x:c r="J7" s="81"/>
      <x:c r="K7" s="73"/>
      <x:c r="L7" s="81"/>
      <x:c r="M7" s="73"/>
      <x:c r="N7" s="81"/>
      <x:c r="O7" s="81"/>
      <x:c r="P7" s="81"/>
      <x:c r="Q7" s="81"/>
      <x:c r="R7" s="81"/>
      <x:c r="S7" s="81"/>
      <x:c r="T7" s="81"/>
      <x:c r="U7" s="81"/>
      <x:c r="V7" s="81"/>
      <x:c r="W7" s="83" t="n">
        <x:f>IF(A7="","",SUM(O7:V7))</x:f>
        <x:v>0</x:v>
      </x:c>
      <x:c r="X7" s="83" t="n">
        <x:f>IF(A7="","",IF(W7&gt;=8,2,IF(W7&gt;=3,1,0)))</x:f>
        <x:v>0</x:v>
      </x:c>
      <x:c r="Y7" s="73"/>
      <x:c r="Z7" s="73"/>
      <x:c r="AA7" s="73"/>
      <x:c r="AB7" s="81"/>
      <x:c r="AC7" s="85" t="n">
        <x:f>IF(A7="","",SUM(J7,L7,N7,X7,AB7))</x:f>
        <x:v>0</x:v>
      </x:c>
      <x:c r="AD7" s="85" t="str">
        <x:f>IF(A7="","",IF(F7&lt;&gt;"Reviewed","REVIEW",IF(AND(AC7&gt;=8,J7&gt;=1,X7&gt;=1),"CONTACT NOW",IF(AC7&gt;=6,"RESEARCH MORE","REPLACE"))))</x:f>
        <x:v>REVIEW</x:v>
      </x:c>
      <x:c r="AE7" s="73" t="str">
        <x:v>Choose a specific location/unit, review the journey, and identify a buyer.</x:v>
      </x:c>
      <x:c r="AF7" s="73" t="str">
        <x:v>Not Contacted</x:v>
      </x:c>
      <x:c r="AG7" s="87"/>
      <x:c r="AH7" s="87"/>
      <x:c r="AI7" s="75" t="str">
        <x:v>Starter hypothesis only: Enrollment, levels, franchise locations, likely parent follow-up workflow. Verify before using it in outreach.</x:v>
      </x:c>
    </x:row>
    <x:row r="8">
      <x:c r="A8" s="40" t="str">
        <x:v>SafeSplash Swim School</x:v>
      </x:c>
      <x:c r="B8" s="41" t="str">
        <x:v>Swim school</x:v>
      </x:c>
      <x:c r="C8" s="41" t="str">
        <x:v>US</x:v>
      </x:c>
      <x:c r="D8" s="73"/>
      <x:c r="E8" s="73" t="str">
        <x:v>https://www.safesplash.com/</x:v>
      </x:c>
      <x:c r="F8" s="73" t="str">
        <x:v>Not Started</x:v>
      </x:c>
      <x:c r="G8" s="73"/>
      <x:c r="H8" s="73"/>
      <x:c r="I8" s="73"/>
      <x:c r="J8" s="81"/>
      <x:c r="K8" s="73"/>
      <x:c r="L8" s="81"/>
      <x:c r="M8" s="73"/>
      <x:c r="N8" s="81"/>
      <x:c r="O8" s="81"/>
      <x:c r="P8" s="81"/>
      <x:c r="Q8" s="81"/>
      <x:c r="R8" s="81"/>
      <x:c r="S8" s="81"/>
      <x:c r="T8" s="81"/>
      <x:c r="U8" s="81"/>
      <x:c r="V8" s="81"/>
      <x:c r="W8" s="83" t="n">
        <x:f>IF(A8="","",SUM(O8:V8))</x:f>
        <x:v>0</x:v>
      </x:c>
      <x:c r="X8" s="83" t="n">
        <x:f>IF(A8="","",IF(W8&gt;=8,2,IF(W8&gt;=3,1,0)))</x:f>
        <x:v>0</x:v>
      </x:c>
      <x:c r="Y8" s="73"/>
      <x:c r="Z8" s="73"/>
      <x:c r="AA8" s="73"/>
      <x:c r="AB8" s="81"/>
      <x:c r="AC8" s="85" t="n">
        <x:f>IF(A8="","",SUM(J8,L8,N8,X8,AB8))</x:f>
        <x:v>0</x:v>
      </x:c>
      <x:c r="AD8" s="85" t="str">
        <x:f>IF(A8="","",IF(F8&lt;&gt;"Reviewed","REVIEW",IF(AND(AC8&gt;=8,J8&gt;=1,X8&gt;=1),"CONTACT NOW",IF(AC8&gt;=6,"RESEARCH MORE","REPLACE"))))</x:f>
        <x:v>REVIEW</x:v>
      </x:c>
      <x:c r="AE8" s="73" t="str">
        <x:v>Choose a specific location/unit, review the journey, and identify a buyer.</x:v>
      </x:c>
      <x:c r="AF8" s="73" t="str">
        <x:v>Not Contacted</x:v>
      </x:c>
      <x:c r="AG8" s="87"/>
      <x:c r="AH8" s="87"/>
      <x:c r="AI8" s="75" t="str">
        <x:v>Starter hypothesis only: Kids/adult lessons, locations, booking/enrollment flow. Verify before using it in outreach.</x:v>
      </x:c>
    </x:row>
    <x:row r="9">
      <x:c r="A9" s="40" t="str">
        <x:v>Big Blue Swim School</x:v>
      </x:c>
      <x:c r="B9" s="41" t="str">
        <x:v>Swim school</x:v>
      </x:c>
      <x:c r="C9" s="41" t="str">
        <x:v>US</x:v>
      </x:c>
      <x:c r="D9" s="73"/>
      <x:c r="E9" s="73" t="str">
        <x:v>https://bigblueswimschool.com/</x:v>
      </x:c>
      <x:c r="F9" s="73" t="str">
        <x:v>Not Started</x:v>
      </x:c>
      <x:c r="G9" s="73"/>
      <x:c r="H9" s="73"/>
      <x:c r="I9" s="73"/>
      <x:c r="J9" s="81"/>
      <x:c r="K9" s="73"/>
      <x:c r="L9" s="81"/>
      <x:c r="M9" s="73"/>
      <x:c r="N9" s="81"/>
      <x:c r="O9" s="81"/>
      <x:c r="P9" s="81"/>
      <x:c r="Q9" s="81"/>
      <x:c r="R9" s="81"/>
      <x:c r="S9" s="81"/>
      <x:c r="T9" s="81"/>
      <x:c r="U9" s="81"/>
      <x:c r="V9" s="81"/>
      <x:c r="W9" s="83" t="n">
        <x:f>IF(A9="","",SUM(O9:V9))</x:f>
        <x:v>0</x:v>
      </x:c>
      <x:c r="X9" s="83" t="n">
        <x:f>IF(A9="","",IF(W9&gt;=8,2,IF(W9&gt;=3,1,0)))</x:f>
        <x:v>0</x:v>
      </x:c>
      <x:c r="Y9" s="73"/>
      <x:c r="Z9" s="73"/>
      <x:c r="AA9" s="73"/>
      <x:c r="AB9" s="81"/>
      <x:c r="AC9" s="85" t="n">
        <x:f>IF(A9="","",SUM(J9,L9,N9,X9,AB9))</x:f>
        <x:v>0</x:v>
      </x:c>
      <x:c r="AD9" s="85" t="str">
        <x:f>IF(A9="","",IF(F9&lt;&gt;"Reviewed","REVIEW",IF(AND(AC9&gt;=8,J9&gt;=1,X9&gt;=1),"CONTACT NOW",IF(AC9&gt;=6,"RESEARCH MORE","REPLACE"))))</x:f>
        <x:v>REVIEW</x:v>
      </x:c>
      <x:c r="AE9" s="73" t="str">
        <x:v>Choose a specific location/unit, review the journey, and identify a buyer.</x:v>
      </x:c>
      <x:c r="AF9" s="73" t="str">
        <x:v>Not Contacted</x:v>
      </x:c>
      <x:c r="AG9" s="87"/>
      <x:c r="AH9" s="87"/>
      <x:c r="AI9" s="75" t="str">
        <x:v>Starter hypothesis only: Class enrollment, parent-facing scheduling, multi-location operation. Verify before using it in outreach.</x:v>
      </x:c>
    </x:row>
    <x:row r="10">
      <x:c r="A10" s="40" t="str">
        <x:v>Emler Swim School</x:v>
      </x:c>
      <x:c r="B10" s="41" t="str">
        <x:v>Swim school</x:v>
      </x:c>
      <x:c r="C10" s="41" t="str">
        <x:v>US</x:v>
      </x:c>
      <x:c r="D10" s="73"/>
      <x:c r="E10" s="73" t="str">
        <x:v>https://emlerswimschool.com/</x:v>
      </x:c>
      <x:c r="F10" s="73" t="str">
        <x:v>Not Started</x:v>
      </x:c>
      <x:c r="G10" s="73"/>
      <x:c r="H10" s="73"/>
      <x:c r="I10" s="73"/>
      <x:c r="J10" s="81"/>
      <x:c r="K10" s="73"/>
      <x:c r="L10" s="81"/>
      <x:c r="M10" s="73"/>
      <x:c r="N10" s="81"/>
      <x:c r="O10" s="81"/>
      <x:c r="P10" s="81"/>
      <x:c r="Q10" s="81"/>
      <x:c r="R10" s="81"/>
      <x:c r="S10" s="81"/>
      <x:c r="T10" s="81"/>
      <x:c r="U10" s="81"/>
      <x:c r="V10" s="81"/>
      <x:c r="W10" s="83" t="n">
        <x:f>IF(A10="","",SUM(O10:V10))</x:f>
        <x:v>0</x:v>
      </x:c>
      <x:c r="X10" s="83" t="n">
        <x:f>IF(A10="","",IF(W10&gt;=8,2,IF(W10&gt;=3,1,0)))</x:f>
        <x:v>0</x:v>
      </x:c>
      <x:c r="Y10" s="73"/>
      <x:c r="Z10" s="73"/>
      <x:c r="AA10" s="73"/>
      <x:c r="AB10" s="81"/>
      <x:c r="AC10" s="85" t="n">
        <x:f>IF(A10="","",SUM(J10,L10,N10,X10,AB10))</x:f>
        <x:v>0</x:v>
      </x:c>
      <x:c r="AD10" s="85" t="str">
        <x:f>IF(A10="","",IF(F10&lt;&gt;"Reviewed","REVIEW",IF(AND(AC10&gt;=8,J10&gt;=1,X10&gt;=1),"CONTACT NOW",IF(AC10&gt;=6,"RESEARCH MORE","REPLACE"))))</x:f>
        <x:v>REVIEW</x:v>
      </x:c>
      <x:c r="AE10" s="73" t="str">
        <x:v>Choose a specific location/unit, review the journey, and identify a buyer.</x:v>
      </x:c>
      <x:c r="AF10" s="73" t="str">
        <x:v>Not Contacted</x:v>
      </x:c>
      <x:c r="AG10" s="87"/>
      <x:c r="AH10" s="87"/>
      <x:c r="AI10" s="75" t="str">
        <x:v>Starter hypothesis only: Class levels, enrollment, parent/student progression. Verify before using it in outreach.</x:v>
      </x:c>
    </x:row>
    <x:row r="11">
      <x:c r="A11" s="40" t="str">
        <x:v>Foss Swim School</x:v>
      </x:c>
      <x:c r="B11" s="41" t="str">
        <x:v>Swim school</x:v>
      </x:c>
      <x:c r="C11" s="41" t="str">
        <x:v>US</x:v>
      </x:c>
      <x:c r="D11" s="73"/>
      <x:c r="E11" s="73" t="str">
        <x:v>https://www.fossswimschool.com/</x:v>
      </x:c>
      <x:c r="F11" s="73" t="str">
        <x:v>Not Started</x:v>
      </x:c>
      <x:c r="G11" s="73"/>
      <x:c r="H11" s="73"/>
      <x:c r="I11" s="73"/>
      <x:c r="J11" s="81"/>
      <x:c r="K11" s="73"/>
      <x:c r="L11" s="81"/>
      <x:c r="M11" s="73"/>
      <x:c r="N11" s="81"/>
      <x:c r="O11" s="81"/>
      <x:c r="P11" s="81"/>
      <x:c r="Q11" s="81"/>
      <x:c r="R11" s="81"/>
      <x:c r="S11" s="81"/>
      <x:c r="T11" s="81"/>
      <x:c r="U11" s="81"/>
      <x:c r="V11" s="81"/>
      <x:c r="W11" s="83" t="n">
        <x:f>IF(A11="","",SUM(O11:V11))</x:f>
        <x:v>0</x:v>
      </x:c>
      <x:c r="X11" s="83" t="n">
        <x:f>IF(A11="","",IF(W11&gt;=8,2,IF(W11&gt;=3,1,0)))</x:f>
        <x:v>0</x:v>
      </x:c>
      <x:c r="Y11" s="73"/>
      <x:c r="Z11" s="73"/>
      <x:c r="AA11" s="73"/>
      <x:c r="AB11" s="81"/>
      <x:c r="AC11" s="85" t="n">
        <x:f>IF(A11="","",SUM(J11,L11,N11,X11,AB11))</x:f>
        <x:v>0</x:v>
      </x:c>
      <x:c r="AD11" s="85" t="str">
        <x:f>IF(A11="","",IF(F11&lt;&gt;"Reviewed","REVIEW",IF(AND(AC11&gt;=8,J11&gt;=1,X11&gt;=1),"CONTACT NOW",IF(AC11&gt;=6,"RESEARCH MORE","REPLACE"))))</x:f>
        <x:v>REVIEW</x:v>
      </x:c>
      <x:c r="AE11" s="73" t="str">
        <x:v>Choose a specific location/unit, review the journey, and identify a buyer.</x:v>
      </x:c>
      <x:c r="AF11" s="73" t="str">
        <x:v>Not Contacted</x:v>
      </x:c>
      <x:c r="AG11" s="87"/>
      <x:c r="AH11" s="87"/>
      <x:c r="AI11" s="75" t="str">
        <x:v>Starter hypothesis only: Enrollment, class levels, multi-location operations. Verify before using it in outreach.</x:v>
      </x:c>
    </x:row>
    <x:row r="12">
      <x:c r="A12" s="40" t="str">
        <x:v>Bear Paddle Swim School</x:v>
      </x:c>
      <x:c r="B12" s="41" t="str">
        <x:v>Swim school</x:v>
      </x:c>
      <x:c r="C12" s="41" t="str">
        <x:v>US</x:v>
      </x:c>
      <x:c r="D12" s="73"/>
      <x:c r="E12" s="73" t="str">
        <x:v>https://bearpaddle.com/</x:v>
      </x:c>
      <x:c r="F12" s="73" t="str">
        <x:v>Not Started</x:v>
      </x:c>
      <x:c r="G12" s="73"/>
      <x:c r="H12" s="73"/>
      <x:c r="I12" s="73"/>
      <x:c r="J12" s="81"/>
      <x:c r="K12" s="73"/>
      <x:c r="L12" s="81"/>
      <x:c r="M12" s="73"/>
      <x:c r="N12" s="81"/>
      <x:c r="O12" s="81"/>
      <x:c r="P12" s="81"/>
      <x:c r="Q12" s="81"/>
      <x:c r="R12" s="81"/>
      <x:c r="S12" s="81"/>
      <x:c r="T12" s="81"/>
      <x:c r="U12" s="81"/>
      <x:c r="V12" s="81"/>
      <x:c r="W12" s="83" t="n">
        <x:f>IF(A12="","",SUM(O12:V12))</x:f>
        <x:v>0</x:v>
      </x:c>
      <x:c r="X12" s="83" t="n">
        <x:f>IF(A12="","",IF(W12&gt;=8,2,IF(W12&gt;=3,1,0)))</x:f>
        <x:v>0</x:v>
      </x:c>
      <x:c r="Y12" s="73"/>
      <x:c r="Z12" s="73"/>
      <x:c r="AA12" s="73"/>
      <x:c r="AB12" s="81"/>
      <x:c r="AC12" s="85" t="n">
        <x:f>IF(A12="","",SUM(J12,L12,N12,X12,AB12))</x:f>
        <x:v>0</x:v>
      </x:c>
      <x:c r="AD12" s="85" t="str">
        <x:f>IF(A12="","",IF(F12&lt;&gt;"Reviewed","REVIEW",IF(AND(AC12&gt;=8,J12&gt;=1,X12&gt;=1),"CONTACT NOW",IF(AC12&gt;=6,"RESEARCH MORE","REPLACE"))))</x:f>
        <x:v>REVIEW</x:v>
      </x:c>
      <x:c r="AE12" s="73" t="str">
        <x:v>Choose a specific location/unit, review the journey, and identify a buyer.</x:v>
      </x:c>
      <x:c r="AF12" s="73" t="str">
        <x:v>Not Contacted</x:v>
      </x:c>
      <x:c r="AG12" s="87"/>
      <x:c r="AH12" s="87"/>
      <x:c r="AI12" s="75" t="str">
        <x:v>Starter hypothesis only: Lesson enrollment and progression flow. Verify before using it in outreach.</x:v>
      </x:c>
    </x:row>
    <x:row r="13">
      <x:c r="A13" s="40" t="str">
        <x:v>Sunsational Swim School</x:v>
      </x:c>
      <x:c r="B13" s="41" t="str">
        <x:v>Private swim lessons</x:v>
      </x:c>
      <x:c r="C13" s="41" t="str">
        <x:v>US/Canada</x:v>
      </x:c>
      <x:c r="D13" s="73"/>
      <x:c r="E13" s="73" t="str">
        <x:v>https://www.sunsationalswimschool.com/</x:v>
      </x:c>
      <x:c r="F13" s="73" t="str">
        <x:v>Not Started</x:v>
      </x:c>
      <x:c r="G13" s="73"/>
      <x:c r="H13" s="73"/>
      <x:c r="I13" s="73"/>
      <x:c r="J13" s="81"/>
      <x:c r="K13" s="73"/>
      <x:c r="L13" s="81"/>
      <x:c r="M13" s="73"/>
      <x:c r="N13" s="81"/>
      <x:c r="O13" s="81"/>
      <x:c r="P13" s="81"/>
      <x:c r="Q13" s="81"/>
      <x:c r="R13" s="81"/>
      <x:c r="S13" s="81"/>
      <x:c r="T13" s="81"/>
      <x:c r="U13" s="81"/>
      <x:c r="V13" s="81"/>
      <x:c r="W13" s="83" t="n">
        <x:f>IF(A13="","",SUM(O13:V13))</x:f>
        <x:v>0</x:v>
      </x:c>
      <x:c r="X13" s="83" t="n">
        <x:f>IF(A13="","",IF(W13&gt;=8,2,IF(W13&gt;=3,1,0)))</x:f>
        <x:v>0</x:v>
      </x:c>
      <x:c r="Y13" s="73"/>
      <x:c r="Z13" s="73"/>
      <x:c r="AA13" s="73"/>
      <x:c r="AB13" s="81"/>
      <x:c r="AC13" s="85" t="n">
        <x:f>IF(A13="","",SUM(J13,L13,N13,X13,AB13))</x:f>
        <x:v>0</x:v>
      </x:c>
      <x:c r="AD13" s="85" t="str">
        <x:f>IF(A13="","",IF(F13&lt;&gt;"Reviewed","REVIEW",IF(AND(AC13&gt;=8,J13&gt;=1,X13&gt;=1),"CONTACT NOW",IF(AC13&gt;=6,"RESEARCH MORE","REPLACE"))))</x:f>
        <x:v>REVIEW</x:v>
      </x:c>
      <x:c r="AE13" s="73" t="str">
        <x:v>Choose a specific location/unit, review the journey, and identify a buyer.</x:v>
      </x:c>
      <x:c r="AF13" s="73" t="str">
        <x:v>Not Contacted</x:v>
      </x:c>
      <x:c r="AG13" s="87"/>
      <x:c r="AH13" s="87"/>
      <x:c r="AI13" s="75" t="str">
        <x:v>Starter hypothesis only: Private lesson inquiry, matching, scheduling, instructor/customer coordination. Verify before using it in outreach.</x:v>
      </x:c>
    </x:row>
    <x:row r="14">
      <x:c r="A14" s="40" t="str">
        <x:v>AquaMobile Swim School</x:v>
      </x:c>
      <x:c r="B14" s="41" t="str">
        <x:v>Private swim lessons</x:v>
      </x:c>
      <x:c r="C14" s="41" t="str">
        <x:v>US/Canada</x:v>
      </x:c>
      <x:c r="D14" s="73"/>
      <x:c r="E14" s="73" t="str">
        <x:v>https://aquamobileswim.com/</x:v>
      </x:c>
      <x:c r="F14" s="73" t="str">
        <x:v>Not Started</x:v>
      </x:c>
      <x:c r="G14" s="73"/>
      <x:c r="H14" s="73"/>
      <x:c r="I14" s="73"/>
      <x:c r="J14" s="81"/>
      <x:c r="K14" s="73"/>
      <x:c r="L14" s="81"/>
      <x:c r="M14" s="73"/>
      <x:c r="N14" s="81"/>
      <x:c r="O14" s="81"/>
      <x:c r="P14" s="81"/>
      <x:c r="Q14" s="81"/>
      <x:c r="R14" s="81"/>
      <x:c r="S14" s="81"/>
      <x:c r="T14" s="81"/>
      <x:c r="U14" s="81"/>
      <x:c r="V14" s="81"/>
      <x:c r="W14" s="83" t="n">
        <x:f>IF(A14="","",SUM(O14:V14))</x:f>
        <x:v>0</x:v>
      </x:c>
      <x:c r="X14" s="83" t="n">
        <x:f>IF(A14="","",IF(W14&gt;=8,2,IF(W14&gt;=3,1,0)))</x:f>
        <x:v>0</x:v>
      </x:c>
      <x:c r="Y14" s="73"/>
      <x:c r="Z14" s="73"/>
      <x:c r="AA14" s="73"/>
      <x:c r="AB14" s="81"/>
      <x:c r="AC14" s="85" t="n">
        <x:f>IF(A14="","",SUM(J14,L14,N14,X14,AB14))</x:f>
        <x:v>0</x:v>
      </x:c>
      <x:c r="AD14" s="85" t="str">
        <x:f>IF(A14="","",IF(F14&lt;&gt;"Reviewed","REVIEW",IF(AND(AC14&gt;=8,J14&gt;=1,X14&gt;=1),"CONTACT NOW",IF(AC14&gt;=6,"RESEARCH MORE","REPLACE"))))</x:f>
        <x:v>REVIEW</x:v>
      </x:c>
      <x:c r="AE14" s="73" t="str">
        <x:v>Choose a specific location/unit, review the journey, and identify a buyer.</x:v>
      </x:c>
      <x:c r="AF14" s="73" t="str">
        <x:v>Not Contacted</x:v>
      </x:c>
      <x:c r="AG14" s="87"/>
      <x:c r="AH14" s="87"/>
      <x:c r="AI14" s="75" t="str">
        <x:v>Starter hypothesis only: At-home lesson booking, instructor matching, payment/follow-up flow. Verify before using it in outreach.</x:v>
      </x:c>
    </x:row>
    <x:row r="15">
      <x:c r="A15" s="40" t="str">
        <x:v>SwimLabs</x:v>
      </x:c>
      <x:c r="B15" s="41" t="str">
        <x:v>Swim analysis/coaching</x:v>
      </x:c>
      <x:c r="C15" s="41" t="str">
        <x:v>US</x:v>
      </x:c>
      <x:c r="D15" s="73"/>
      <x:c r="E15" s="73" t="str">
        <x:v>https://www.swimlabs.com/</x:v>
      </x:c>
      <x:c r="F15" s="73" t="str">
        <x:v>Not Started</x:v>
      </x:c>
      <x:c r="G15" s="73"/>
      <x:c r="H15" s="73"/>
      <x:c r="I15" s="73"/>
      <x:c r="J15" s="81"/>
      <x:c r="K15" s="73"/>
      <x:c r="L15" s="81"/>
      <x:c r="M15" s="73"/>
      <x:c r="N15" s="81"/>
      <x:c r="O15" s="81"/>
      <x:c r="P15" s="81"/>
      <x:c r="Q15" s="81"/>
      <x:c r="R15" s="81"/>
      <x:c r="S15" s="81"/>
      <x:c r="T15" s="81"/>
      <x:c r="U15" s="81"/>
      <x:c r="V15" s="81"/>
      <x:c r="W15" s="83" t="n">
        <x:f>IF(A15="","",SUM(O15:V15))</x:f>
        <x:v>0</x:v>
      </x:c>
      <x:c r="X15" s="83" t="n">
        <x:f>IF(A15="","",IF(W15&gt;=8,2,IF(W15&gt;=3,1,0)))</x:f>
        <x:v>0</x:v>
      </x:c>
      <x:c r="Y15" s="73"/>
      <x:c r="Z15" s="73"/>
      <x:c r="AA15" s="73"/>
      <x:c r="AB15" s="81"/>
      <x:c r="AC15" s="85" t="n">
        <x:f>IF(A15="","",SUM(J15,L15,N15,X15,AB15))</x:f>
        <x:v>0</x:v>
      </x:c>
      <x:c r="AD15" s="85" t="str">
        <x:f>IF(A15="","",IF(F15&lt;&gt;"Reviewed","REVIEW",IF(AND(AC15&gt;=8,J15&gt;=1,X15&gt;=1),"CONTACT NOW",IF(AC15&gt;=6,"RESEARCH MORE","REPLACE"))))</x:f>
        <x:v>REVIEW</x:v>
      </x:c>
      <x:c r="AE15" s="73" t="str">
        <x:v>Choose a specific location/unit, review the journey, and identify a buyer.</x:v>
      </x:c>
      <x:c r="AF15" s="73" t="str">
        <x:v>Not Contacted</x:v>
      </x:c>
      <x:c r="AG15" s="87"/>
      <x:c r="AH15" s="87"/>
      <x:c r="AI15" s="75" t="str">
        <x:v>Starter hypothesis only: Video analysis, lessons, locations, assessment/booking workflow. Verify before using it in outreach.</x:v>
      </x:c>
    </x:row>
    <x:row r="16">
      <x:c r="A16" s="40" t="str">
        <x:v>Carlile Swimming</x:v>
      </x:c>
      <x:c r="B16" s="41" t="str">
        <x:v>Swim school</x:v>
      </x:c>
      <x:c r="C16" s="41" t="str">
        <x:v>Australia</x:v>
      </x:c>
      <x:c r="D16" s="73"/>
      <x:c r="E16" s="73" t="str">
        <x:v>https://www.carlile.com.au/</x:v>
      </x:c>
      <x:c r="F16" s="73" t="str">
        <x:v>Not Started</x:v>
      </x:c>
      <x:c r="G16" s="73"/>
      <x:c r="H16" s="73"/>
      <x:c r="I16" s="73"/>
      <x:c r="J16" s="81"/>
      <x:c r="K16" s="73"/>
      <x:c r="L16" s="81"/>
      <x:c r="M16" s="73"/>
      <x:c r="N16" s="81"/>
      <x:c r="O16" s="81"/>
      <x:c r="P16" s="81"/>
      <x:c r="Q16" s="81"/>
      <x:c r="R16" s="81"/>
      <x:c r="S16" s="81"/>
      <x:c r="T16" s="81"/>
      <x:c r="U16" s="81"/>
      <x:c r="V16" s="81"/>
      <x:c r="W16" s="83" t="n">
        <x:f>IF(A16="","",SUM(O16:V16))</x:f>
        <x:v>0</x:v>
      </x:c>
      <x:c r="X16" s="83" t="n">
        <x:f>IF(A16="","",IF(W16&gt;=8,2,IF(W16&gt;=3,1,0)))</x:f>
        <x:v>0</x:v>
      </x:c>
      <x:c r="Y16" s="73"/>
      <x:c r="Z16" s="73"/>
      <x:c r="AA16" s="73"/>
      <x:c r="AB16" s="81"/>
      <x:c r="AC16" s="85" t="n">
        <x:f>IF(A16="","",SUM(J16,L16,N16,X16,AB16))</x:f>
        <x:v>0</x:v>
      </x:c>
      <x:c r="AD16" s="85" t="str">
        <x:f>IF(A16="","",IF(F16&lt;&gt;"Reviewed","REVIEW",IF(AND(AC16&gt;=8,J16&gt;=1,X16&gt;=1),"CONTACT NOW",IF(AC16&gt;=6,"RESEARCH MORE","REPLACE"))))</x:f>
        <x:v>REVIEW</x:v>
      </x:c>
      <x:c r="AE16" s="73" t="str">
        <x:v>Choose a specific location/unit, review the journey, and identify a buyer.</x:v>
      </x:c>
      <x:c r="AF16" s="73" t="str">
        <x:v>Not Contacted</x:v>
      </x:c>
      <x:c r="AG16" s="87"/>
      <x:c r="AH16" s="87"/>
      <x:c r="AI16" s="75" t="str">
        <x:v>Starter hypothesis only: Learn-to-swim program, levels, enrollment, multiple centers. Verify before using it in outreach.</x:v>
      </x:c>
    </x:row>
    <x:row r="17">
      <x:c r="A17" s="40" t="str">
        <x:v>State Swim</x:v>
      </x:c>
      <x:c r="B17" s="41" t="str">
        <x:v>Swim school</x:v>
      </x:c>
      <x:c r="C17" s="41" t="str">
        <x:v>Australia</x:v>
      </x:c>
      <x:c r="D17" s="73"/>
      <x:c r="E17" s="73" t="str">
        <x:v>https://www.stateswim.com.au/</x:v>
      </x:c>
      <x:c r="F17" s="73" t="str">
        <x:v>Not Started</x:v>
      </x:c>
      <x:c r="G17" s="73"/>
      <x:c r="H17" s="73"/>
      <x:c r="I17" s="73"/>
      <x:c r="J17" s="81"/>
      <x:c r="K17" s="73"/>
      <x:c r="L17" s="81"/>
      <x:c r="M17" s="73"/>
      <x:c r="N17" s="81"/>
      <x:c r="O17" s="81"/>
      <x:c r="P17" s="81"/>
      <x:c r="Q17" s="81"/>
      <x:c r="R17" s="81"/>
      <x:c r="S17" s="81"/>
      <x:c r="T17" s="81"/>
      <x:c r="U17" s="81"/>
      <x:c r="V17" s="81"/>
      <x:c r="W17" s="83" t="n">
        <x:f>IF(A17="","",SUM(O17:V17))</x:f>
        <x:v>0</x:v>
      </x:c>
      <x:c r="X17" s="83" t="n">
        <x:f>IF(A17="","",IF(W17&gt;=8,2,IF(W17&gt;=3,1,0)))</x:f>
        <x:v>0</x:v>
      </x:c>
      <x:c r="Y17" s="73"/>
      <x:c r="Z17" s="73"/>
      <x:c r="AA17" s="73"/>
      <x:c r="AB17" s="81"/>
      <x:c r="AC17" s="85" t="n">
        <x:f>IF(A17="","",SUM(J17,L17,N17,X17,AB17))</x:f>
        <x:v>0</x:v>
      </x:c>
      <x:c r="AD17" s="85" t="str">
        <x:f>IF(A17="","",IF(F17&lt;&gt;"Reviewed","REVIEW",IF(AND(AC17&gt;=8,J17&gt;=1,X17&gt;=1),"CONTACT NOW",IF(AC17&gt;=6,"RESEARCH MORE","REPLACE"))))</x:f>
        <x:v>REVIEW</x:v>
      </x:c>
      <x:c r="AE17" s="73" t="str">
        <x:v>Choose a specific location/unit, review the journey, and identify a buyer.</x:v>
      </x:c>
      <x:c r="AF17" s="73" t="str">
        <x:v>Not Contacted</x:v>
      </x:c>
      <x:c r="AG17" s="87"/>
      <x:c r="AH17" s="87"/>
      <x:c r="AI17" s="75" t="str">
        <x:v>Starter hypothesis only: Class levels, booking/enrollment, multiple locations. Verify before using it in outreach.</x:v>
      </x:c>
    </x:row>
    <x:row r="18">
      <x:c r="A18" s="40" t="str">
        <x:v>JUMP! Swim Schools</x:v>
      </x:c>
      <x:c r="B18" s="41" t="str">
        <x:v>Swim school</x:v>
      </x:c>
      <x:c r="C18" s="41" t="str">
        <x:v>Australia</x:v>
      </x:c>
      <x:c r="D18" s="73"/>
      <x:c r="E18" s="73" t="str">
        <x:v>https://jumpswimschools.com.au/</x:v>
      </x:c>
      <x:c r="F18" s="73" t="str">
        <x:v>Not Started</x:v>
      </x:c>
      <x:c r="G18" s="73"/>
      <x:c r="H18" s="73"/>
      <x:c r="I18" s="73"/>
      <x:c r="J18" s="81"/>
      <x:c r="K18" s="73"/>
      <x:c r="L18" s="81"/>
      <x:c r="M18" s="73"/>
      <x:c r="N18" s="81"/>
      <x:c r="O18" s="81"/>
      <x:c r="P18" s="81"/>
      <x:c r="Q18" s="81"/>
      <x:c r="R18" s="81"/>
      <x:c r="S18" s="81"/>
      <x:c r="T18" s="81"/>
      <x:c r="U18" s="81"/>
      <x:c r="V18" s="81"/>
      <x:c r="W18" s="83" t="n">
        <x:f>IF(A18="","",SUM(O18:V18))</x:f>
        <x:v>0</x:v>
      </x:c>
      <x:c r="X18" s="83" t="n">
        <x:f>IF(A18="","",IF(W18&gt;=8,2,IF(W18&gt;=3,1,0)))</x:f>
        <x:v>0</x:v>
      </x:c>
      <x:c r="Y18" s="73"/>
      <x:c r="Z18" s="73"/>
      <x:c r="AA18" s="73"/>
      <x:c r="AB18" s="81"/>
      <x:c r="AC18" s="85" t="n">
        <x:f>IF(A18="","",SUM(J18,L18,N18,X18,AB18))</x:f>
        <x:v>0</x:v>
      </x:c>
      <x:c r="AD18" s="85" t="str">
        <x:f>IF(A18="","",IF(F18&lt;&gt;"Reviewed","REVIEW",IF(AND(AC18&gt;=8,J18&gt;=1,X18&gt;=1),"CONTACT NOW",IF(AC18&gt;=6,"RESEARCH MORE","REPLACE"))))</x:f>
        <x:v>REVIEW</x:v>
      </x:c>
      <x:c r="AE18" s="73" t="str">
        <x:v>Choose a specific location/unit, review the journey, and identify a buyer.</x:v>
      </x:c>
      <x:c r="AF18" s="73" t="str">
        <x:v>Not Contacted</x:v>
      </x:c>
      <x:c r="AG18" s="87"/>
      <x:c r="AH18" s="87"/>
      <x:c r="AI18" s="75" t="str">
        <x:v>Starter hypothesis only: Small-class swim school model, franchise locations, enrollment flow. Verify before using it in outreach.</x:v>
      </x:c>
    </x:row>
    <x:row r="19">
      <x:c r="A19" s="40" t="str">
        <x:v>Kingswim</x:v>
      </x:c>
      <x:c r="B19" s="41" t="str">
        <x:v>Swim school</x:v>
      </x:c>
      <x:c r="C19" s="41" t="str">
        <x:v>Australia</x:v>
      </x:c>
      <x:c r="D19" s="73"/>
      <x:c r="E19" s="73" t="str">
        <x:v>https://www.kingswim.com.au/</x:v>
      </x:c>
      <x:c r="F19" s="73" t="str">
        <x:v>Not Started</x:v>
      </x:c>
      <x:c r="G19" s="73"/>
      <x:c r="H19" s="73"/>
      <x:c r="I19" s="73"/>
      <x:c r="J19" s="81"/>
      <x:c r="K19" s="73"/>
      <x:c r="L19" s="81"/>
      <x:c r="M19" s="73"/>
      <x:c r="N19" s="81"/>
      <x:c r="O19" s="81"/>
      <x:c r="P19" s="81"/>
      <x:c r="Q19" s="81"/>
      <x:c r="R19" s="81"/>
      <x:c r="S19" s="81"/>
      <x:c r="T19" s="81"/>
      <x:c r="U19" s="81"/>
      <x:c r="V19" s="81"/>
      <x:c r="W19" s="83" t="n">
        <x:f>IF(A19="","",SUM(O19:V19))</x:f>
        <x:v>0</x:v>
      </x:c>
      <x:c r="X19" s="83" t="n">
        <x:f>IF(A19="","",IF(W19&gt;=8,2,IF(W19&gt;=3,1,0)))</x:f>
        <x:v>0</x:v>
      </x:c>
      <x:c r="Y19" s="73"/>
      <x:c r="Z19" s="73"/>
      <x:c r="AA19" s="73"/>
      <x:c r="AB19" s="81"/>
      <x:c r="AC19" s="85" t="n">
        <x:f>IF(A19="","",SUM(J19,L19,N19,X19,AB19))</x:f>
        <x:v>0</x:v>
      </x:c>
      <x:c r="AD19" s="85" t="str">
        <x:f>IF(A19="","",IF(F19&lt;&gt;"Reviewed","REVIEW",IF(AND(AC19&gt;=8,J19&gt;=1,X19&gt;=1),"CONTACT NOW",IF(AC19&gt;=6,"RESEARCH MORE","REPLACE"))))</x:f>
        <x:v>REVIEW</x:v>
      </x:c>
      <x:c r="AE19" s="73" t="str">
        <x:v>Choose a specific location/unit, review the journey, and identify a buyer.</x:v>
      </x:c>
      <x:c r="AF19" s="73" t="str">
        <x:v>Not Contacted</x:v>
      </x:c>
      <x:c r="AG19" s="87"/>
      <x:c r="AH19" s="87"/>
      <x:c r="AI19" s="75" t="str">
        <x:v>Starter hypothesis only: Lessons, class levels, customer booking, multi-location operations. Verify before using it in outreach.</x:v>
      </x:c>
    </x:row>
    <x:row r="20">
      <x:c r="A20" s="40"/>
      <x:c r="B20" s="41"/>
      <x:c r="C20" s="41"/>
      <x:c r="D20" s="73"/>
      <x:c r="E20" s="73"/>
      <x:c r="F20" s="73"/>
      <x:c r="G20" s="73"/>
      <x:c r="H20" s="73"/>
      <x:c r="I20" s="73"/>
      <x:c r="J20" s="81"/>
      <x:c r="K20" s="73"/>
      <x:c r="L20" s="81"/>
      <x:c r="M20" s="73"/>
      <x:c r="N20" s="81"/>
      <x:c r="O20" s="81"/>
      <x:c r="P20" s="81"/>
      <x:c r="Q20" s="81"/>
      <x:c r="R20" s="81"/>
      <x:c r="S20" s="81"/>
      <x:c r="T20" s="81"/>
      <x:c r="U20" s="81"/>
      <x:c r="V20" s="81"/>
      <x:c r="W20" s="83" t="str">
        <x:f>IF(A20="","",SUM(O20:V20))</x:f>
      </x:c>
      <x:c r="X20" s="83" t="str">
        <x:f>IF(A20="","",IF(W20&gt;=8,2,IF(W20&gt;=3,1,0)))</x:f>
      </x:c>
      <x:c r="Y20" s="73"/>
      <x:c r="Z20" s="73"/>
      <x:c r="AA20" s="73"/>
      <x:c r="AB20" s="81"/>
      <x:c r="AC20" s="85" t="str">
        <x:f>IF(A20="","",SUM(J20,L20,N20,X20,AB20))</x:f>
      </x:c>
      <x:c r="AD20" s="85" t="str">
        <x:f>IF(A20="","",IF(F20&lt;&gt;"Reviewed","REVIEW",IF(AND(AC20&gt;=8,J20&gt;=1,X20&gt;=1),"CONTACT NOW",IF(AC20&gt;=6,"RESEARCH MORE","REPLACE"))))</x:f>
      </x:c>
      <x:c r="AE20" s="73"/>
      <x:c r="AF20" s="73"/>
      <x:c r="AG20" s="87"/>
      <x:c r="AH20" s="87"/>
      <x:c r="AI20" s="75"/>
    </x:row>
    <x:row r="21">
      <x:c r="A21" s="40"/>
      <x:c r="B21" s="41"/>
      <x:c r="C21" s="41"/>
      <x:c r="D21" s="73"/>
      <x:c r="E21" s="73"/>
      <x:c r="F21" s="73"/>
      <x:c r="G21" s="73"/>
      <x:c r="H21" s="73"/>
      <x:c r="I21" s="73"/>
      <x:c r="J21" s="81"/>
      <x:c r="K21" s="73"/>
      <x:c r="L21" s="81"/>
      <x:c r="M21" s="73"/>
      <x:c r="N21" s="81"/>
      <x:c r="O21" s="81"/>
      <x:c r="P21" s="81"/>
      <x:c r="Q21" s="81"/>
      <x:c r="R21" s="81"/>
      <x:c r="S21" s="81"/>
      <x:c r="T21" s="81"/>
      <x:c r="U21" s="81"/>
      <x:c r="V21" s="81"/>
      <x:c r="W21" s="83" t="str">
        <x:f>IF(A21="","",SUM(O21:V21))</x:f>
      </x:c>
      <x:c r="X21" s="83" t="str">
        <x:f>IF(A21="","",IF(W21&gt;=8,2,IF(W21&gt;=3,1,0)))</x:f>
      </x:c>
      <x:c r="Y21" s="73"/>
      <x:c r="Z21" s="73"/>
      <x:c r="AA21" s="73"/>
      <x:c r="AB21" s="81"/>
      <x:c r="AC21" s="85" t="str">
        <x:f>IF(A21="","",SUM(J21,L21,N21,X21,AB21))</x:f>
      </x:c>
      <x:c r="AD21" s="85" t="str">
        <x:f>IF(A21="","",IF(F21&lt;&gt;"Reviewed","REVIEW",IF(AND(AC21&gt;=8,J21&gt;=1,X21&gt;=1),"CONTACT NOW",IF(AC21&gt;=6,"RESEARCH MORE","REPLACE"))))</x:f>
      </x:c>
      <x:c r="AE21" s="73"/>
      <x:c r="AF21" s="73"/>
      <x:c r="AG21" s="87"/>
      <x:c r="AH21" s="87"/>
      <x:c r="AI21" s="75"/>
    </x:row>
    <x:row r="22">
      <x:c r="A22" s="40"/>
      <x:c r="B22" s="41"/>
      <x:c r="C22" s="41"/>
      <x:c r="D22" s="73"/>
      <x:c r="E22" s="73"/>
      <x:c r="F22" s="73"/>
      <x:c r="G22" s="73"/>
      <x:c r="H22" s="73"/>
      <x:c r="I22" s="73"/>
      <x:c r="J22" s="81"/>
      <x:c r="K22" s="73"/>
      <x:c r="L22" s="81"/>
      <x:c r="M22" s="73"/>
      <x:c r="N22" s="81"/>
      <x:c r="O22" s="81"/>
      <x:c r="P22" s="81"/>
      <x:c r="Q22" s="81"/>
      <x:c r="R22" s="81"/>
      <x:c r="S22" s="81"/>
      <x:c r="T22" s="81"/>
      <x:c r="U22" s="81"/>
      <x:c r="V22" s="81"/>
      <x:c r="W22" s="83" t="str">
        <x:f>IF(A22="","",SUM(O22:V22))</x:f>
      </x:c>
      <x:c r="X22" s="83" t="str">
        <x:f>IF(A22="","",IF(W22&gt;=8,2,IF(W22&gt;=3,1,0)))</x:f>
      </x:c>
      <x:c r="Y22" s="73"/>
      <x:c r="Z22" s="73"/>
      <x:c r="AA22" s="73"/>
      <x:c r="AB22" s="81"/>
      <x:c r="AC22" s="85" t="str">
        <x:f>IF(A22="","",SUM(J22,L22,N22,X22,AB22))</x:f>
      </x:c>
      <x:c r="AD22" s="85" t="str">
        <x:f>IF(A22="","",IF(F22&lt;&gt;"Reviewed","REVIEW",IF(AND(AC22&gt;=8,J22&gt;=1,X22&gt;=1),"CONTACT NOW",IF(AC22&gt;=6,"RESEARCH MORE","REPLACE"))))</x:f>
      </x:c>
      <x:c r="AE22" s="73"/>
      <x:c r="AF22" s="73"/>
      <x:c r="AG22" s="87"/>
      <x:c r="AH22" s="87"/>
      <x:c r="AI22" s="75"/>
    </x:row>
    <x:row r="23">
      <x:c r="A23" s="40"/>
      <x:c r="B23" s="41"/>
      <x:c r="C23" s="41"/>
      <x:c r="D23" s="73"/>
      <x:c r="E23" s="73"/>
      <x:c r="F23" s="73"/>
      <x:c r="G23" s="73"/>
      <x:c r="H23" s="73"/>
      <x:c r="I23" s="73"/>
      <x:c r="J23" s="81"/>
      <x:c r="K23" s="73"/>
      <x:c r="L23" s="81"/>
      <x:c r="M23" s="73"/>
      <x:c r="N23" s="81"/>
      <x:c r="O23" s="81"/>
      <x:c r="P23" s="81"/>
      <x:c r="Q23" s="81"/>
      <x:c r="R23" s="81"/>
      <x:c r="S23" s="81"/>
      <x:c r="T23" s="81"/>
      <x:c r="U23" s="81"/>
      <x:c r="V23" s="81"/>
      <x:c r="W23" s="83" t="str">
        <x:f>IF(A23="","",SUM(O23:V23))</x:f>
      </x:c>
      <x:c r="X23" s="83" t="str">
        <x:f>IF(A23="","",IF(W23&gt;=8,2,IF(W23&gt;=3,1,0)))</x:f>
      </x:c>
      <x:c r="Y23" s="73"/>
      <x:c r="Z23" s="73"/>
      <x:c r="AA23" s="73"/>
      <x:c r="AB23" s="81"/>
      <x:c r="AC23" s="85" t="str">
        <x:f>IF(A23="","",SUM(J23,L23,N23,X23,AB23))</x:f>
      </x:c>
      <x:c r="AD23" s="85" t="str">
        <x:f>IF(A23="","",IF(F23&lt;&gt;"Reviewed","REVIEW",IF(AND(AC23&gt;=8,J23&gt;=1,X23&gt;=1),"CONTACT NOW",IF(AC23&gt;=6,"RESEARCH MORE","REPLACE"))))</x:f>
      </x:c>
      <x:c r="AE23" s="73"/>
      <x:c r="AF23" s="73"/>
      <x:c r="AG23" s="87"/>
      <x:c r="AH23" s="87"/>
      <x:c r="AI23" s="75"/>
    </x:row>
    <x:row r="24">
      <x:c r="A24" s="40"/>
      <x:c r="B24" s="41"/>
      <x:c r="C24" s="41"/>
      <x:c r="D24" s="73"/>
      <x:c r="E24" s="73"/>
      <x:c r="F24" s="73"/>
      <x:c r="G24" s="73"/>
      <x:c r="H24" s="73"/>
      <x:c r="I24" s="73"/>
      <x:c r="J24" s="81"/>
      <x:c r="K24" s="73"/>
      <x:c r="L24" s="81"/>
      <x:c r="M24" s="73"/>
      <x:c r="N24" s="81"/>
      <x:c r="O24" s="81"/>
      <x:c r="P24" s="81"/>
      <x:c r="Q24" s="81"/>
      <x:c r="R24" s="81"/>
      <x:c r="S24" s="81"/>
      <x:c r="T24" s="81"/>
      <x:c r="U24" s="81"/>
      <x:c r="V24" s="81"/>
      <x:c r="W24" s="83" t="str">
        <x:f>IF(A24="","",SUM(O24:V24))</x:f>
      </x:c>
      <x:c r="X24" s="83" t="str">
        <x:f>IF(A24="","",IF(W24&gt;=8,2,IF(W24&gt;=3,1,0)))</x:f>
      </x:c>
      <x:c r="Y24" s="73"/>
      <x:c r="Z24" s="73"/>
      <x:c r="AA24" s="73"/>
      <x:c r="AB24" s="81"/>
      <x:c r="AC24" s="85" t="str">
        <x:f>IF(A24="","",SUM(J24,L24,N24,X24,AB24))</x:f>
      </x:c>
      <x:c r="AD24" s="85" t="str">
        <x:f>IF(A24="","",IF(F24&lt;&gt;"Reviewed","REVIEW",IF(AND(AC24&gt;=8,J24&gt;=1,X24&gt;=1),"CONTACT NOW",IF(AC24&gt;=6,"RESEARCH MORE","REPLACE"))))</x:f>
      </x:c>
      <x:c r="AE24" s="73"/>
      <x:c r="AF24" s="73"/>
      <x:c r="AG24" s="87"/>
      <x:c r="AH24" s="87"/>
      <x:c r="AI24" s="75"/>
    </x:row>
    <x:row r="25">
      <x:c r="A25" s="40"/>
      <x:c r="B25" s="41"/>
      <x:c r="C25" s="41"/>
      <x:c r="D25" s="73"/>
      <x:c r="E25" s="73"/>
      <x:c r="F25" s="73"/>
      <x:c r="G25" s="73"/>
      <x:c r="H25" s="73"/>
      <x:c r="I25" s="73"/>
      <x:c r="J25" s="81"/>
      <x:c r="K25" s="73"/>
      <x:c r="L25" s="81"/>
      <x:c r="M25" s="73"/>
      <x:c r="N25" s="81"/>
      <x:c r="O25" s="81"/>
      <x:c r="P25" s="81"/>
      <x:c r="Q25" s="81"/>
      <x:c r="R25" s="81"/>
      <x:c r="S25" s="81"/>
      <x:c r="T25" s="81"/>
      <x:c r="U25" s="81"/>
      <x:c r="V25" s="81"/>
      <x:c r="W25" s="83" t="str">
        <x:f>IF(A25="","",SUM(O25:V25))</x:f>
      </x:c>
      <x:c r="X25" s="83" t="str">
        <x:f>IF(A25="","",IF(W25&gt;=8,2,IF(W25&gt;=3,1,0)))</x:f>
      </x:c>
      <x:c r="Y25" s="73"/>
      <x:c r="Z25" s="73"/>
      <x:c r="AA25" s="73"/>
      <x:c r="AB25" s="81"/>
      <x:c r="AC25" s="85" t="str">
        <x:f>IF(A25="","",SUM(J25,L25,N25,X25,AB25))</x:f>
      </x:c>
      <x:c r="AD25" s="85" t="str">
        <x:f>IF(A25="","",IF(F25&lt;&gt;"Reviewed","REVIEW",IF(AND(AC25&gt;=8,J25&gt;=1,X25&gt;=1),"CONTACT NOW",IF(AC25&gt;=6,"RESEARCH MORE","REPLACE"))))</x:f>
      </x:c>
      <x:c r="AE25" s="73"/>
      <x:c r="AF25" s="73"/>
      <x:c r="AG25" s="87"/>
      <x:c r="AH25" s="87"/>
      <x:c r="AI25" s="75"/>
    </x:row>
    <x:row r="26">
      <x:c r="A26" s="40"/>
      <x:c r="B26" s="41"/>
      <x:c r="C26" s="41"/>
      <x:c r="D26" s="73"/>
      <x:c r="E26" s="73"/>
      <x:c r="F26" s="73"/>
      <x:c r="G26" s="73"/>
      <x:c r="H26" s="73"/>
      <x:c r="I26" s="73"/>
      <x:c r="J26" s="81"/>
      <x:c r="K26" s="73"/>
      <x:c r="L26" s="81"/>
      <x:c r="M26" s="73"/>
      <x:c r="N26" s="81"/>
      <x:c r="O26" s="81"/>
      <x:c r="P26" s="81"/>
      <x:c r="Q26" s="81"/>
      <x:c r="R26" s="81"/>
      <x:c r="S26" s="81"/>
      <x:c r="T26" s="81"/>
      <x:c r="U26" s="81"/>
      <x:c r="V26" s="81"/>
      <x:c r="W26" s="83" t="str">
        <x:f>IF(A26="","",SUM(O26:V26))</x:f>
      </x:c>
      <x:c r="X26" s="83" t="str">
        <x:f>IF(A26="","",IF(W26&gt;=8,2,IF(W26&gt;=3,1,0)))</x:f>
      </x:c>
      <x:c r="Y26" s="73"/>
      <x:c r="Z26" s="73"/>
      <x:c r="AA26" s="73"/>
      <x:c r="AB26" s="81"/>
      <x:c r="AC26" s="85" t="str">
        <x:f>IF(A26="","",SUM(J26,L26,N26,X26,AB26))</x:f>
      </x:c>
      <x:c r="AD26" s="85" t="str">
        <x:f>IF(A26="","",IF(F26&lt;&gt;"Reviewed","REVIEW",IF(AND(AC26&gt;=8,J26&gt;=1,X26&gt;=1),"CONTACT NOW",IF(AC26&gt;=6,"RESEARCH MORE","REPLACE"))))</x:f>
      </x:c>
      <x:c r="AE26" s="73"/>
      <x:c r="AF26" s="73"/>
      <x:c r="AG26" s="87"/>
      <x:c r="AH26" s="87"/>
      <x:c r="AI26" s="75"/>
    </x:row>
    <x:row r="27">
      <x:c r="A27" s="40"/>
      <x:c r="B27" s="41"/>
      <x:c r="C27" s="41"/>
      <x:c r="D27" s="73"/>
      <x:c r="E27" s="73"/>
      <x:c r="F27" s="73"/>
      <x:c r="G27" s="73"/>
      <x:c r="H27" s="73"/>
      <x:c r="I27" s="73"/>
      <x:c r="J27" s="81"/>
      <x:c r="K27" s="73"/>
      <x:c r="L27" s="81"/>
      <x:c r="M27" s="73"/>
      <x:c r="N27" s="81"/>
      <x:c r="O27" s="81"/>
      <x:c r="P27" s="81"/>
      <x:c r="Q27" s="81"/>
      <x:c r="R27" s="81"/>
      <x:c r="S27" s="81"/>
      <x:c r="T27" s="81"/>
      <x:c r="U27" s="81"/>
      <x:c r="V27" s="81"/>
      <x:c r="W27" s="83" t="str">
        <x:f>IF(A27="","",SUM(O27:V27))</x:f>
      </x:c>
      <x:c r="X27" s="83" t="str">
        <x:f>IF(A27="","",IF(W27&gt;=8,2,IF(W27&gt;=3,1,0)))</x:f>
      </x:c>
      <x:c r="Y27" s="73"/>
      <x:c r="Z27" s="73"/>
      <x:c r="AA27" s="73"/>
      <x:c r="AB27" s="81"/>
      <x:c r="AC27" s="85" t="str">
        <x:f>IF(A27="","",SUM(J27,L27,N27,X27,AB27))</x:f>
      </x:c>
      <x:c r="AD27" s="85" t="str">
        <x:f>IF(A27="","",IF(F27&lt;&gt;"Reviewed","REVIEW",IF(AND(AC27&gt;=8,J27&gt;=1,X27&gt;=1),"CONTACT NOW",IF(AC27&gt;=6,"RESEARCH MORE","REPLACE"))))</x:f>
      </x:c>
      <x:c r="AE27" s="73"/>
      <x:c r="AF27" s="73"/>
      <x:c r="AG27" s="87"/>
      <x:c r="AH27" s="87"/>
      <x:c r="AI27" s="75"/>
    </x:row>
    <x:row r="28">
      <x:c r="A28" s="40"/>
      <x:c r="B28" s="41"/>
      <x:c r="C28" s="41"/>
      <x:c r="D28" s="73"/>
      <x:c r="E28" s="73"/>
      <x:c r="F28" s="73"/>
      <x:c r="G28" s="73"/>
      <x:c r="H28" s="73"/>
      <x:c r="I28" s="73"/>
      <x:c r="J28" s="81"/>
      <x:c r="K28" s="73"/>
      <x:c r="L28" s="81"/>
      <x:c r="M28" s="73"/>
      <x:c r="N28" s="81"/>
      <x:c r="O28" s="81"/>
      <x:c r="P28" s="81"/>
      <x:c r="Q28" s="81"/>
      <x:c r="R28" s="81"/>
      <x:c r="S28" s="81"/>
      <x:c r="T28" s="81"/>
      <x:c r="U28" s="81"/>
      <x:c r="V28" s="81"/>
      <x:c r="W28" s="83" t="str">
        <x:f>IF(A28="","",SUM(O28:V28))</x:f>
      </x:c>
      <x:c r="X28" s="83" t="str">
        <x:f>IF(A28="","",IF(W28&gt;=8,2,IF(W28&gt;=3,1,0)))</x:f>
      </x:c>
      <x:c r="Y28" s="73"/>
      <x:c r="Z28" s="73"/>
      <x:c r="AA28" s="73"/>
      <x:c r="AB28" s="81"/>
      <x:c r="AC28" s="85" t="str">
        <x:f>IF(A28="","",SUM(J28,L28,N28,X28,AB28))</x:f>
      </x:c>
      <x:c r="AD28" s="85" t="str">
        <x:f>IF(A28="","",IF(F28&lt;&gt;"Reviewed","REVIEW",IF(AND(AC28&gt;=8,J28&gt;=1,X28&gt;=1),"CONTACT NOW",IF(AC28&gt;=6,"RESEARCH MORE","REPLACE"))))</x:f>
      </x:c>
      <x:c r="AE28" s="73"/>
      <x:c r="AF28" s="73"/>
      <x:c r="AG28" s="87"/>
      <x:c r="AH28" s="87"/>
      <x:c r="AI28" s="75"/>
    </x:row>
    <x:row r="29">
      <x:c r="A29" s="40"/>
      <x:c r="B29" s="41"/>
      <x:c r="C29" s="41"/>
      <x:c r="D29" s="73"/>
      <x:c r="E29" s="73"/>
      <x:c r="F29" s="73"/>
      <x:c r="G29" s="73"/>
      <x:c r="H29" s="73"/>
      <x:c r="I29" s="73"/>
      <x:c r="J29" s="81"/>
      <x:c r="K29" s="73"/>
      <x:c r="L29" s="81"/>
      <x:c r="M29" s="73"/>
      <x:c r="N29" s="81"/>
      <x:c r="O29" s="81"/>
      <x:c r="P29" s="81"/>
      <x:c r="Q29" s="81"/>
      <x:c r="R29" s="81"/>
      <x:c r="S29" s="81"/>
      <x:c r="T29" s="81"/>
      <x:c r="U29" s="81"/>
      <x:c r="V29" s="81"/>
      <x:c r="W29" s="83" t="str">
        <x:f>IF(A29="","",SUM(O29:V29))</x:f>
      </x:c>
      <x:c r="X29" s="83" t="str">
        <x:f>IF(A29="","",IF(W29&gt;=8,2,IF(W29&gt;=3,1,0)))</x:f>
      </x:c>
      <x:c r="Y29" s="73"/>
      <x:c r="Z29" s="73"/>
      <x:c r="AA29" s="73"/>
      <x:c r="AB29" s="81"/>
      <x:c r="AC29" s="85" t="str">
        <x:f>IF(A29="","",SUM(J29,L29,N29,X29,AB29))</x:f>
      </x:c>
      <x:c r="AD29" s="85" t="str">
        <x:f>IF(A29="","",IF(F29&lt;&gt;"Reviewed","REVIEW",IF(AND(AC29&gt;=8,J29&gt;=1,X29&gt;=1),"CONTACT NOW",IF(AC29&gt;=6,"RESEARCH MORE","REPLACE"))))</x:f>
      </x:c>
      <x:c r="AE29" s="73"/>
      <x:c r="AF29" s="73"/>
      <x:c r="AG29" s="87"/>
      <x:c r="AH29" s="87"/>
      <x:c r="AI29" s="75"/>
    </x:row>
    <x:row r="30">
      <x:c r="A30" s="40"/>
      <x:c r="B30" s="41"/>
      <x:c r="C30" s="41"/>
      <x:c r="D30" s="73"/>
      <x:c r="E30" s="73"/>
      <x:c r="F30" s="73"/>
      <x:c r="G30" s="73"/>
      <x:c r="H30" s="73"/>
      <x:c r="I30" s="73"/>
      <x:c r="J30" s="81"/>
      <x:c r="K30" s="73"/>
      <x:c r="L30" s="81"/>
      <x:c r="M30" s="73"/>
      <x:c r="N30" s="81"/>
      <x:c r="O30" s="81"/>
      <x:c r="P30" s="81"/>
      <x:c r="Q30" s="81"/>
      <x:c r="R30" s="81"/>
      <x:c r="S30" s="81"/>
      <x:c r="T30" s="81"/>
      <x:c r="U30" s="81"/>
      <x:c r="V30" s="81"/>
      <x:c r="W30" s="83" t="str">
        <x:f>IF(A30="","",SUM(O30:V30))</x:f>
      </x:c>
      <x:c r="X30" s="83" t="str">
        <x:f>IF(A30="","",IF(W30&gt;=8,2,IF(W30&gt;=3,1,0)))</x:f>
      </x:c>
      <x:c r="Y30" s="73"/>
      <x:c r="Z30" s="73"/>
      <x:c r="AA30" s="73"/>
      <x:c r="AB30" s="81"/>
      <x:c r="AC30" s="85" t="str">
        <x:f>IF(A30="","",SUM(J30,L30,N30,X30,AB30))</x:f>
      </x:c>
      <x:c r="AD30" s="85" t="str">
        <x:f>IF(A30="","",IF(F30&lt;&gt;"Reviewed","REVIEW",IF(AND(AC30&gt;=8,J30&gt;=1,X30&gt;=1),"CONTACT NOW",IF(AC30&gt;=6,"RESEARCH MORE","REPLACE"))))</x:f>
      </x:c>
      <x:c r="AE30" s="73"/>
      <x:c r="AF30" s="73"/>
      <x:c r="AG30" s="87"/>
      <x:c r="AH30" s="87"/>
      <x:c r="AI30" s="75"/>
    </x:row>
    <x:row r="31">
      <x:c r="A31" s="40"/>
      <x:c r="B31" s="41"/>
      <x:c r="C31" s="41"/>
      <x:c r="D31" s="73"/>
      <x:c r="E31" s="73"/>
      <x:c r="F31" s="73"/>
      <x:c r="G31" s="73"/>
      <x:c r="H31" s="73"/>
      <x:c r="I31" s="73"/>
      <x:c r="J31" s="81"/>
      <x:c r="K31" s="73"/>
      <x:c r="L31" s="81"/>
      <x:c r="M31" s="73"/>
      <x:c r="N31" s="81"/>
      <x:c r="O31" s="81"/>
      <x:c r="P31" s="81"/>
      <x:c r="Q31" s="81"/>
      <x:c r="R31" s="81"/>
      <x:c r="S31" s="81"/>
      <x:c r="T31" s="81"/>
      <x:c r="U31" s="81"/>
      <x:c r="V31" s="81"/>
      <x:c r="W31" s="83" t="str">
        <x:f>IF(A31="","",SUM(O31:V31))</x:f>
      </x:c>
      <x:c r="X31" s="83" t="str">
        <x:f>IF(A31="","",IF(W31&gt;=8,2,IF(W31&gt;=3,1,0)))</x:f>
      </x:c>
      <x:c r="Y31" s="73"/>
      <x:c r="Z31" s="73"/>
      <x:c r="AA31" s="73"/>
      <x:c r="AB31" s="81"/>
      <x:c r="AC31" s="85" t="str">
        <x:f>IF(A31="","",SUM(J31,L31,N31,X31,AB31))</x:f>
      </x:c>
      <x:c r="AD31" s="85" t="str">
        <x:f>IF(A31="","",IF(F31&lt;&gt;"Reviewed","REVIEW",IF(AND(AC31&gt;=8,J31&gt;=1,X31&gt;=1),"CONTACT NOW",IF(AC31&gt;=6,"RESEARCH MORE","REPLACE"))))</x:f>
      </x:c>
      <x:c r="AE31" s="73"/>
      <x:c r="AF31" s="73"/>
      <x:c r="AG31" s="87"/>
      <x:c r="AH31" s="87"/>
      <x:c r="AI31" s="75"/>
    </x:row>
    <x:row r="32">
      <x:c r="A32" s="40"/>
      <x:c r="B32" s="41"/>
      <x:c r="C32" s="41"/>
      <x:c r="D32" s="73"/>
      <x:c r="E32" s="73"/>
      <x:c r="F32" s="73"/>
      <x:c r="G32" s="73"/>
      <x:c r="H32" s="73"/>
      <x:c r="I32" s="73"/>
      <x:c r="J32" s="81"/>
      <x:c r="K32" s="73"/>
      <x:c r="L32" s="81"/>
      <x:c r="M32" s="73"/>
      <x:c r="N32" s="81"/>
      <x:c r="O32" s="81"/>
      <x:c r="P32" s="81"/>
      <x:c r="Q32" s="81"/>
      <x:c r="R32" s="81"/>
      <x:c r="S32" s="81"/>
      <x:c r="T32" s="81"/>
      <x:c r="U32" s="81"/>
      <x:c r="V32" s="81"/>
      <x:c r="W32" s="83" t="str">
        <x:f>IF(A32="","",SUM(O32:V32))</x:f>
      </x:c>
      <x:c r="X32" s="83" t="str">
        <x:f>IF(A32="","",IF(W32&gt;=8,2,IF(W32&gt;=3,1,0)))</x:f>
      </x:c>
      <x:c r="Y32" s="73"/>
      <x:c r="Z32" s="73"/>
      <x:c r="AA32" s="73"/>
      <x:c r="AB32" s="81"/>
      <x:c r="AC32" s="85" t="str">
        <x:f>IF(A32="","",SUM(J32,L32,N32,X32,AB32))</x:f>
      </x:c>
      <x:c r="AD32" s="85" t="str">
        <x:f>IF(A32="","",IF(F32&lt;&gt;"Reviewed","REVIEW",IF(AND(AC32&gt;=8,J32&gt;=1,X32&gt;=1),"CONTACT NOW",IF(AC32&gt;=6,"RESEARCH MORE","REPLACE"))))</x:f>
      </x:c>
      <x:c r="AE32" s="73"/>
      <x:c r="AF32" s="73"/>
      <x:c r="AG32" s="87"/>
      <x:c r="AH32" s="87"/>
      <x:c r="AI32" s="75"/>
    </x:row>
    <x:row r="33">
      <x:c r="A33" s="40"/>
      <x:c r="B33" s="41"/>
      <x:c r="C33" s="41"/>
      <x:c r="D33" s="73"/>
      <x:c r="E33" s="73"/>
      <x:c r="F33" s="73"/>
      <x:c r="G33" s="73"/>
      <x:c r="H33" s="73"/>
      <x:c r="I33" s="73"/>
      <x:c r="J33" s="81"/>
      <x:c r="K33" s="73"/>
      <x:c r="L33" s="81"/>
      <x:c r="M33" s="73"/>
      <x:c r="N33" s="81"/>
      <x:c r="O33" s="81"/>
      <x:c r="P33" s="81"/>
      <x:c r="Q33" s="81"/>
      <x:c r="R33" s="81"/>
      <x:c r="S33" s="81"/>
      <x:c r="T33" s="81"/>
      <x:c r="U33" s="81"/>
      <x:c r="V33" s="81"/>
      <x:c r="W33" s="83" t="str">
        <x:f>IF(A33="","",SUM(O33:V33))</x:f>
      </x:c>
      <x:c r="X33" s="83" t="str">
        <x:f>IF(A33="","",IF(W33&gt;=8,2,IF(W33&gt;=3,1,0)))</x:f>
      </x:c>
      <x:c r="Y33" s="73"/>
      <x:c r="Z33" s="73"/>
      <x:c r="AA33" s="73"/>
      <x:c r="AB33" s="81"/>
      <x:c r="AC33" s="85" t="str">
        <x:f>IF(A33="","",SUM(J33,L33,N33,X33,AB33))</x:f>
      </x:c>
      <x:c r="AD33" s="85" t="str">
        <x:f>IF(A33="","",IF(F33&lt;&gt;"Reviewed","REVIEW",IF(AND(AC33&gt;=8,J33&gt;=1,X33&gt;=1),"CONTACT NOW",IF(AC33&gt;=6,"RESEARCH MORE","REPLACE"))))</x:f>
      </x:c>
      <x:c r="AE33" s="73"/>
      <x:c r="AF33" s="73"/>
      <x:c r="AG33" s="87"/>
      <x:c r="AH33" s="87"/>
      <x:c r="AI33" s="75"/>
    </x:row>
    <x:row r="34">
      <x:c r="A34" s="40"/>
      <x:c r="B34" s="41"/>
      <x:c r="C34" s="41"/>
      <x:c r="D34" s="73"/>
      <x:c r="E34" s="73"/>
      <x:c r="F34" s="73"/>
      <x:c r="G34" s="73"/>
      <x:c r="H34" s="73"/>
      <x:c r="I34" s="73"/>
      <x:c r="J34" s="81"/>
      <x:c r="K34" s="73"/>
      <x:c r="L34" s="81"/>
      <x:c r="M34" s="73"/>
      <x:c r="N34" s="81"/>
      <x:c r="O34" s="81"/>
      <x:c r="P34" s="81"/>
      <x:c r="Q34" s="81"/>
      <x:c r="R34" s="81"/>
      <x:c r="S34" s="81"/>
      <x:c r="T34" s="81"/>
      <x:c r="U34" s="81"/>
      <x:c r="V34" s="81"/>
      <x:c r="W34" s="83" t="str">
        <x:f>IF(A34="","",SUM(O34:V34))</x:f>
      </x:c>
      <x:c r="X34" s="83" t="str">
        <x:f>IF(A34="","",IF(W34&gt;=8,2,IF(W34&gt;=3,1,0)))</x:f>
      </x:c>
      <x:c r="Y34" s="73"/>
      <x:c r="Z34" s="73"/>
      <x:c r="AA34" s="73"/>
      <x:c r="AB34" s="81"/>
      <x:c r="AC34" s="85" t="str">
        <x:f>IF(A34="","",SUM(J34,L34,N34,X34,AB34))</x:f>
      </x:c>
      <x:c r="AD34" s="85" t="str">
        <x:f>IF(A34="","",IF(F34&lt;&gt;"Reviewed","REVIEW",IF(AND(AC34&gt;=8,J34&gt;=1,X34&gt;=1),"CONTACT NOW",IF(AC34&gt;=6,"RESEARCH MORE","REPLACE"))))</x:f>
      </x:c>
      <x:c r="AE34" s="73"/>
      <x:c r="AF34" s="73"/>
      <x:c r="AG34" s="87"/>
      <x:c r="AH34" s="87"/>
      <x:c r="AI34" s="75"/>
    </x:row>
    <x:row r="35">
      <x:c r="A35" s="40"/>
      <x:c r="B35" s="41"/>
      <x:c r="C35" s="41"/>
      <x:c r="D35" s="73"/>
      <x:c r="E35" s="73"/>
      <x:c r="F35" s="73"/>
      <x:c r="G35" s="73"/>
      <x:c r="H35" s="73"/>
      <x:c r="I35" s="73"/>
      <x:c r="J35" s="81"/>
      <x:c r="K35" s="73"/>
      <x:c r="L35" s="81"/>
      <x:c r="M35" s="73"/>
      <x:c r="N35" s="81"/>
      <x:c r="O35" s="81"/>
      <x:c r="P35" s="81"/>
      <x:c r="Q35" s="81"/>
      <x:c r="R35" s="81"/>
      <x:c r="S35" s="81"/>
      <x:c r="T35" s="81"/>
      <x:c r="U35" s="81"/>
      <x:c r="V35" s="81"/>
      <x:c r="W35" s="83" t="str">
        <x:f>IF(A35="","",SUM(O35:V35))</x:f>
      </x:c>
      <x:c r="X35" s="83" t="str">
        <x:f>IF(A35="","",IF(W35&gt;=8,2,IF(W35&gt;=3,1,0)))</x:f>
      </x:c>
      <x:c r="Y35" s="73"/>
      <x:c r="Z35" s="73"/>
      <x:c r="AA35" s="73"/>
      <x:c r="AB35" s="81"/>
      <x:c r="AC35" s="85" t="str">
        <x:f>IF(A35="","",SUM(J35,L35,N35,X35,AB35))</x:f>
      </x:c>
      <x:c r="AD35" s="85" t="str">
        <x:f>IF(A35="","",IF(F35&lt;&gt;"Reviewed","REVIEW",IF(AND(AC35&gt;=8,J35&gt;=1,X35&gt;=1),"CONTACT NOW",IF(AC35&gt;=6,"RESEARCH MORE","REPLACE"))))</x:f>
      </x:c>
      <x:c r="AE35" s="73"/>
      <x:c r="AF35" s="73"/>
      <x:c r="AG35" s="87"/>
      <x:c r="AH35" s="87"/>
      <x:c r="AI35" s="75"/>
    </x:row>
    <x:row r="36">
      <x:c r="A36" s="40"/>
      <x:c r="B36" s="41"/>
      <x:c r="C36" s="41"/>
      <x:c r="D36" s="73"/>
      <x:c r="E36" s="73"/>
      <x:c r="F36" s="73"/>
      <x:c r="G36" s="73"/>
      <x:c r="H36" s="73"/>
      <x:c r="I36" s="73"/>
      <x:c r="J36" s="81"/>
      <x:c r="K36" s="73"/>
      <x:c r="L36" s="81"/>
      <x:c r="M36" s="73"/>
      <x:c r="N36" s="81"/>
      <x:c r="O36" s="81"/>
      <x:c r="P36" s="81"/>
      <x:c r="Q36" s="81"/>
      <x:c r="R36" s="81"/>
      <x:c r="S36" s="81"/>
      <x:c r="T36" s="81"/>
      <x:c r="U36" s="81"/>
      <x:c r="V36" s="81"/>
      <x:c r="W36" s="83" t="str">
        <x:f>IF(A36="","",SUM(O36:V36))</x:f>
      </x:c>
      <x:c r="X36" s="83" t="str">
        <x:f>IF(A36="","",IF(W36&gt;=8,2,IF(W36&gt;=3,1,0)))</x:f>
      </x:c>
      <x:c r="Y36" s="73"/>
      <x:c r="Z36" s="73"/>
      <x:c r="AA36" s="73"/>
      <x:c r="AB36" s="81"/>
      <x:c r="AC36" s="85" t="str">
        <x:f>IF(A36="","",SUM(J36,L36,N36,X36,AB36))</x:f>
      </x:c>
      <x:c r="AD36" s="85" t="str">
        <x:f>IF(A36="","",IF(F36&lt;&gt;"Reviewed","REVIEW",IF(AND(AC36&gt;=8,J36&gt;=1,X36&gt;=1),"CONTACT NOW",IF(AC36&gt;=6,"RESEARCH MORE","REPLACE"))))</x:f>
      </x:c>
      <x:c r="AE36" s="73"/>
      <x:c r="AF36" s="73"/>
      <x:c r="AG36" s="87"/>
      <x:c r="AH36" s="87"/>
      <x:c r="AI36" s="75"/>
    </x:row>
    <x:row r="37">
      <x:c r="A37" s="40"/>
      <x:c r="B37" s="41"/>
      <x:c r="C37" s="41"/>
      <x:c r="D37" s="73"/>
      <x:c r="E37" s="73"/>
      <x:c r="F37" s="73"/>
      <x:c r="G37" s="73"/>
      <x:c r="H37" s="73"/>
      <x:c r="I37" s="73"/>
      <x:c r="J37" s="81"/>
      <x:c r="K37" s="73"/>
      <x:c r="L37" s="81"/>
      <x:c r="M37" s="73"/>
      <x:c r="N37" s="81"/>
      <x:c r="O37" s="81"/>
      <x:c r="P37" s="81"/>
      <x:c r="Q37" s="81"/>
      <x:c r="R37" s="81"/>
      <x:c r="S37" s="81"/>
      <x:c r="T37" s="81"/>
      <x:c r="U37" s="81"/>
      <x:c r="V37" s="81"/>
      <x:c r="W37" s="83" t="str">
        <x:f>IF(A37="","",SUM(O37:V37))</x:f>
      </x:c>
      <x:c r="X37" s="83" t="str">
        <x:f>IF(A37="","",IF(W37&gt;=8,2,IF(W37&gt;=3,1,0)))</x:f>
      </x:c>
      <x:c r="Y37" s="73"/>
      <x:c r="Z37" s="73"/>
      <x:c r="AA37" s="73"/>
      <x:c r="AB37" s="81"/>
      <x:c r="AC37" s="85" t="str">
        <x:f>IF(A37="","",SUM(J37,L37,N37,X37,AB37))</x:f>
      </x:c>
      <x:c r="AD37" s="85" t="str">
        <x:f>IF(A37="","",IF(F37&lt;&gt;"Reviewed","REVIEW",IF(AND(AC37&gt;=8,J37&gt;=1,X37&gt;=1),"CONTACT NOW",IF(AC37&gt;=6,"RESEARCH MORE","REPLACE"))))</x:f>
      </x:c>
      <x:c r="AE37" s="73"/>
      <x:c r="AF37" s="73"/>
      <x:c r="AG37" s="87"/>
      <x:c r="AH37" s="87"/>
      <x:c r="AI37" s="75"/>
    </x:row>
    <x:row r="38">
      <x:c r="A38" s="40"/>
      <x:c r="B38" s="41"/>
      <x:c r="C38" s="41"/>
      <x:c r="D38" s="73"/>
      <x:c r="E38" s="73"/>
      <x:c r="F38" s="73"/>
      <x:c r="G38" s="73"/>
      <x:c r="H38" s="73"/>
      <x:c r="I38" s="73"/>
      <x:c r="J38" s="81"/>
      <x:c r="K38" s="73"/>
      <x:c r="L38" s="81"/>
      <x:c r="M38" s="73"/>
      <x:c r="N38" s="81"/>
      <x:c r="O38" s="81"/>
      <x:c r="P38" s="81"/>
      <x:c r="Q38" s="81"/>
      <x:c r="R38" s="81"/>
      <x:c r="S38" s="81"/>
      <x:c r="T38" s="81"/>
      <x:c r="U38" s="81"/>
      <x:c r="V38" s="81"/>
      <x:c r="W38" s="83" t="str">
        <x:f>IF(A38="","",SUM(O38:V38))</x:f>
      </x:c>
      <x:c r="X38" s="83" t="str">
        <x:f>IF(A38="","",IF(W38&gt;=8,2,IF(W38&gt;=3,1,0)))</x:f>
      </x:c>
      <x:c r="Y38" s="73"/>
      <x:c r="Z38" s="73"/>
      <x:c r="AA38" s="73"/>
      <x:c r="AB38" s="81"/>
      <x:c r="AC38" s="85" t="str">
        <x:f>IF(A38="","",SUM(J38,L38,N38,X38,AB38))</x:f>
      </x:c>
      <x:c r="AD38" s="85" t="str">
        <x:f>IF(A38="","",IF(F38&lt;&gt;"Reviewed","REVIEW",IF(AND(AC38&gt;=8,J38&gt;=1,X38&gt;=1),"CONTACT NOW",IF(AC38&gt;=6,"RESEARCH MORE","REPLACE"))))</x:f>
      </x:c>
      <x:c r="AE38" s="73"/>
      <x:c r="AF38" s="73"/>
      <x:c r="AG38" s="87"/>
      <x:c r="AH38" s="87"/>
      <x:c r="AI38" s="75"/>
    </x:row>
    <x:row r="39">
      <x:c r="A39" s="40"/>
      <x:c r="B39" s="41"/>
      <x:c r="C39" s="41"/>
      <x:c r="D39" s="73"/>
      <x:c r="E39" s="73"/>
      <x:c r="F39" s="73"/>
      <x:c r="G39" s="73"/>
      <x:c r="H39" s="73"/>
      <x:c r="I39" s="73"/>
      <x:c r="J39" s="81"/>
      <x:c r="K39" s="73"/>
      <x:c r="L39" s="81"/>
      <x:c r="M39" s="73"/>
      <x:c r="N39" s="81"/>
      <x:c r="O39" s="81"/>
      <x:c r="P39" s="81"/>
      <x:c r="Q39" s="81"/>
      <x:c r="R39" s="81"/>
      <x:c r="S39" s="81"/>
      <x:c r="T39" s="81"/>
      <x:c r="U39" s="81"/>
      <x:c r="V39" s="81"/>
      <x:c r="W39" s="83" t="str">
        <x:f>IF(A39="","",SUM(O39:V39))</x:f>
      </x:c>
      <x:c r="X39" s="83" t="str">
        <x:f>IF(A39="","",IF(W39&gt;=8,2,IF(W39&gt;=3,1,0)))</x:f>
      </x:c>
      <x:c r="Y39" s="73"/>
      <x:c r="Z39" s="73"/>
      <x:c r="AA39" s="73"/>
      <x:c r="AB39" s="81"/>
      <x:c r="AC39" s="85" t="str">
        <x:f>IF(A39="","",SUM(J39,L39,N39,X39,AB39))</x:f>
      </x:c>
      <x:c r="AD39" s="85" t="str">
        <x:f>IF(A39="","",IF(F39&lt;&gt;"Reviewed","REVIEW",IF(AND(AC39&gt;=8,J39&gt;=1,X39&gt;=1),"CONTACT NOW",IF(AC39&gt;=6,"RESEARCH MORE","REPLACE"))))</x:f>
      </x:c>
      <x:c r="AE39" s="73"/>
      <x:c r="AF39" s="73"/>
      <x:c r="AG39" s="87"/>
      <x:c r="AH39" s="87"/>
      <x:c r="AI39" s="75"/>
    </x:row>
    <x:row r="40">
      <x:c r="A40" s="40"/>
      <x:c r="B40" s="41"/>
      <x:c r="C40" s="41"/>
      <x:c r="D40" s="73"/>
      <x:c r="E40" s="73"/>
      <x:c r="F40" s="73"/>
      <x:c r="G40" s="73"/>
      <x:c r="H40" s="73"/>
      <x:c r="I40" s="73"/>
      <x:c r="J40" s="81"/>
      <x:c r="K40" s="73"/>
      <x:c r="L40" s="81"/>
      <x:c r="M40" s="73"/>
      <x:c r="N40" s="81"/>
      <x:c r="O40" s="81"/>
      <x:c r="P40" s="81"/>
      <x:c r="Q40" s="81"/>
      <x:c r="R40" s="81"/>
      <x:c r="S40" s="81"/>
      <x:c r="T40" s="81"/>
      <x:c r="U40" s="81"/>
      <x:c r="V40" s="81"/>
      <x:c r="W40" s="83" t="str">
        <x:f>IF(A40="","",SUM(O40:V40))</x:f>
      </x:c>
      <x:c r="X40" s="83" t="str">
        <x:f>IF(A40="","",IF(W40&gt;=8,2,IF(W40&gt;=3,1,0)))</x:f>
      </x:c>
      <x:c r="Y40" s="73"/>
      <x:c r="Z40" s="73"/>
      <x:c r="AA40" s="73"/>
      <x:c r="AB40" s="81"/>
      <x:c r="AC40" s="85" t="str">
        <x:f>IF(A40="","",SUM(J40,L40,N40,X40,AB40))</x:f>
      </x:c>
      <x:c r="AD40" s="85" t="str">
        <x:f>IF(A40="","",IF(F40&lt;&gt;"Reviewed","REVIEW",IF(AND(AC40&gt;=8,J40&gt;=1,X40&gt;=1),"CONTACT NOW",IF(AC40&gt;=6,"RESEARCH MORE","REPLACE"))))</x:f>
      </x:c>
      <x:c r="AE40" s="73"/>
      <x:c r="AF40" s="73"/>
      <x:c r="AG40" s="87"/>
      <x:c r="AH40" s="87"/>
      <x:c r="AI40" s="75"/>
    </x:row>
    <x:row r="41">
      <x:c r="A41" s="40"/>
      <x:c r="B41" s="41"/>
      <x:c r="C41" s="41"/>
      <x:c r="D41" s="73"/>
      <x:c r="E41" s="73"/>
      <x:c r="F41" s="73"/>
      <x:c r="G41" s="73"/>
      <x:c r="H41" s="73"/>
      <x:c r="I41" s="73"/>
      <x:c r="J41" s="81"/>
      <x:c r="K41" s="73"/>
      <x:c r="L41" s="81"/>
      <x:c r="M41" s="73"/>
      <x:c r="N41" s="81"/>
      <x:c r="O41" s="81"/>
      <x:c r="P41" s="81"/>
      <x:c r="Q41" s="81"/>
      <x:c r="R41" s="81"/>
      <x:c r="S41" s="81"/>
      <x:c r="T41" s="81"/>
      <x:c r="U41" s="81"/>
      <x:c r="V41" s="81"/>
      <x:c r="W41" s="83" t="str">
        <x:f>IF(A41="","",SUM(O41:V41))</x:f>
      </x:c>
      <x:c r="X41" s="83" t="str">
        <x:f>IF(A41="","",IF(W41&gt;=8,2,IF(W41&gt;=3,1,0)))</x:f>
      </x:c>
      <x:c r="Y41" s="73"/>
      <x:c r="Z41" s="73"/>
      <x:c r="AA41" s="73"/>
      <x:c r="AB41" s="81"/>
      <x:c r="AC41" s="85" t="str">
        <x:f>IF(A41="","",SUM(J41,L41,N41,X41,AB41))</x:f>
      </x:c>
      <x:c r="AD41" s="85" t="str">
        <x:f>IF(A41="","",IF(F41&lt;&gt;"Reviewed","REVIEW",IF(AND(AC41&gt;=8,J41&gt;=1,X41&gt;=1),"CONTACT NOW",IF(AC41&gt;=6,"RESEARCH MORE","REPLACE"))))</x:f>
      </x:c>
      <x:c r="AE41" s="73"/>
      <x:c r="AF41" s="73"/>
      <x:c r="AG41" s="87"/>
      <x:c r="AH41" s="87"/>
      <x:c r="AI41" s="75"/>
    </x:row>
    <x:row r="42">
      <x:c r="A42" s="40"/>
      <x:c r="B42" s="41"/>
      <x:c r="C42" s="41"/>
      <x:c r="D42" s="73"/>
      <x:c r="E42" s="73"/>
      <x:c r="F42" s="73"/>
      <x:c r="G42" s="73"/>
      <x:c r="H42" s="73"/>
      <x:c r="I42" s="73"/>
      <x:c r="J42" s="81"/>
      <x:c r="K42" s="73"/>
      <x:c r="L42" s="81"/>
      <x:c r="M42" s="73"/>
      <x:c r="N42" s="81"/>
      <x:c r="O42" s="81"/>
      <x:c r="P42" s="81"/>
      <x:c r="Q42" s="81"/>
      <x:c r="R42" s="81"/>
      <x:c r="S42" s="81"/>
      <x:c r="T42" s="81"/>
      <x:c r="U42" s="81"/>
      <x:c r="V42" s="81"/>
      <x:c r="W42" s="83" t="str">
        <x:f>IF(A42="","",SUM(O42:V42))</x:f>
      </x:c>
      <x:c r="X42" s="83" t="str">
        <x:f>IF(A42="","",IF(W42&gt;=8,2,IF(W42&gt;=3,1,0)))</x:f>
      </x:c>
      <x:c r="Y42" s="73"/>
      <x:c r="Z42" s="73"/>
      <x:c r="AA42" s="73"/>
      <x:c r="AB42" s="81"/>
      <x:c r="AC42" s="85" t="str">
        <x:f>IF(A42="","",SUM(J42,L42,N42,X42,AB42))</x:f>
      </x:c>
      <x:c r="AD42" s="85" t="str">
        <x:f>IF(A42="","",IF(F42&lt;&gt;"Reviewed","REVIEW",IF(AND(AC42&gt;=8,J42&gt;=1,X42&gt;=1),"CONTACT NOW",IF(AC42&gt;=6,"RESEARCH MORE","REPLACE"))))</x:f>
      </x:c>
      <x:c r="AE42" s="73"/>
      <x:c r="AF42" s="73"/>
      <x:c r="AG42" s="87"/>
      <x:c r="AH42" s="87"/>
      <x:c r="AI42" s="75"/>
    </x:row>
    <x:row r="43">
      <x:c r="A43" s="40"/>
      <x:c r="B43" s="41"/>
      <x:c r="C43" s="41"/>
      <x:c r="D43" s="73"/>
      <x:c r="E43" s="73"/>
      <x:c r="F43" s="73"/>
      <x:c r="G43" s="73"/>
      <x:c r="H43" s="73"/>
      <x:c r="I43" s="73"/>
      <x:c r="J43" s="81"/>
      <x:c r="K43" s="73"/>
      <x:c r="L43" s="81"/>
      <x:c r="M43" s="73"/>
      <x:c r="N43" s="81"/>
      <x:c r="O43" s="81"/>
      <x:c r="P43" s="81"/>
      <x:c r="Q43" s="81"/>
      <x:c r="R43" s="81"/>
      <x:c r="S43" s="81"/>
      <x:c r="T43" s="81"/>
      <x:c r="U43" s="81"/>
      <x:c r="V43" s="81"/>
      <x:c r="W43" s="83" t="str">
        <x:f>IF(A43="","",SUM(O43:V43))</x:f>
      </x:c>
      <x:c r="X43" s="83" t="str">
        <x:f>IF(A43="","",IF(W43&gt;=8,2,IF(W43&gt;=3,1,0)))</x:f>
      </x:c>
      <x:c r="Y43" s="73"/>
      <x:c r="Z43" s="73"/>
      <x:c r="AA43" s="73"/>
      <x:c r="AB43" s="81"/>
      <x:c r="AC43" s="85" t="str">
        <x:f>IF(A43="","",SUM(J43,L43,N43,X43,AB43))</x:f>
      </x:c>
      <x:c r="AD43" s="85" t="str">
        <x:f>IF(A43="","",IF(F43&lt;&gt;"Reviewed","REVIEW",IF(AND(AC43&gt;=8,J43&gt;=1,X43&gt;=1),"CONTACT NOW",IF(AC43&gt;=6,"RESEARCH MORE","REPLACE"))))</x:f>
      </x:c>
      <x:c r="AE43" s="73"/>
      <x:c r="AF43" s="73"/>
      <x:c r="AG43" s="87"/>
      <x:c r="AH43" s="87"/>
      <x:c r="AI43" s="75"/>
    </x:row>
    <x:row r="44">
      <x:c r="A44" s="40"/>
      <x:c r="B44" s="41"/>
      <x:c r="C44" s="41"/>
      <x:c r="D44" s="73"/>
      <x:c r="E44" s="73"/>
      <x:c r="F44" s="73"/>
      <x:c r="G44" s="73"/>
      <x:c r="H44" s="73"/>
      <x:c r="I44" s="73"/>
      <x:c r="J44" s="81"/>
      <x:c r="K44" s="73"/>
      <x:c r="L44" s="81"/>
      <x:c r="M44" s="73"/>
      <x:c r="N44" s="81"/>
      <x:c r="O44" s="81"/>
      <x:c r="P44" s="81"/>
      <x:c r="Q44" s="81"/>
      <x:c r="R44" s="81"/>
      <x:c r="S44" s="81"/>
      <x:c r="T44" s="81"/>
      <x:c r="U44" s="81"/>
      <x:c r="V44" s="81"/>
      <x:c r="W44" s="83" t="str">
        <x:f>IF(A44="","",SUM(O44:V44))</x:f>
      </x:c>
      <x:c r="X44" s="83" t="str">
        <x:f>IF(A44="","",IF(W44&gt;=8,2,IF(W44&gt;=3,1,0)))</x:f>
      </x:c>
      <x:c r="Y44" s="73"/>
      <x:c r="Z44" s="73"/>
      <x:c r="AA44" s="73"/>
      <x:c r="AB44" s="81"/>
      <x:c r="AC44" s="85" t="str">
        <x:f>IF(A44="","",SUM(J44,L44,N44,X44,AB44))</x:f>
      </x:c>
      <x:c r="AD44" s="85" t="str">
        <x:f>IF(A44="","",IF(F44&lt;&gt;"Reviewed","REVIEW",IF(AND(AC44&gt;=8,J44&gt;=1,X44&gt;=1),"CONTACT NOW",IF(AC44&gt;=6,"RESEARCH MORE","REPLACE"))))</x:f>
      </x:c>
      <x:c r="AE44" s="73"/>
      <x:c r="AF44" s="73"/>
      <x:c r="AG44" s="87"/>
      <x:c r="AH44" s="87"/>
      <x:c r="AI44" s="75"/>
    </x:row>
    <x:row r="45">
      <x:c r="A45" s="40"/>
      <x:c r="B45" s="41"/>
      <x:c r="C45" s="41"/>
      <x:c r="D45" s="73"/>
      <x:c r="E45" s="73"/>
      <x:c r="F45" s="73"/>
      <x:c r="G45" s="73"/>
      <x:c r="H45" s="73"/>
      <x:c r="I45" s="73"/>
      <x:c r="J45" s="81"/>
      <x:c r="K45" s="73"/>
      <x:c r="L45" s="81"/>
      <x:c r="M45" s="73"/>
      <x:c r="N45" s="81"/>
      <x:c r="O45" s="81"/>
      <x:c r="P45" s="81"/>
      <x:c r="Q45" s="81"/>
      <x:c r="R45" s="81"/>
      <x:c r="S45" s="81"/>
      <x:c r="T45" s="81"/>
      <x:c r="U45" s="81"/>
      <x:c r="V45" s="81"/>
      <x:c r="W45" s="83" t="str">
        <x:f>IF(A45="","",SUM(O45:V45))</x:f>
      </x:c>
      <x:c r="X45" s="83" t="str">
        <x:f>IF(A45="","",IF(W45&gt;=8,2,IF(W45&gt;=3,1,0)))</x:f>
      </x:c>
      <x:c r="Y45" s="73"/>
      <x:c r="Z45" s="73"/>
      <x:c r="AA45" s="73"/>
      <x:c r="AB45" s="81"/>
      <x:c r="AC45" s="85" t="str">
        <x:f>IF(A45="","",SUM(J45,L45,N45,X45,AB45))</x:f>
      </x:c>
      <x:c r="AD45" s="85" t="str">
        <x:f>IF(A45="","",IF(F45&lt;&gt;"Reviewed","REVIEW",IF(AND(AC45&gt;=8,J45&gt;=1,X45&gt;=1),"CONTACT NOW",IF(AC45&gt;=6,"RESEARCH MORE","REPLACE"))))</x:f>
      </x:c>
      <x:c r="AE45" s="73"/>
      <x:c r="AF45" s="73"/>
      <x:c r="AG45" s="87"/>
      <x:c r="AH45" s="87"/>
      <x:c r="AI45" s="75"/>
    </x:row>
    <x:row r="46">
      <x:c r="A46" s="40"/>
      <x:c r="B46" s="41"/>
      <x:c r="C46" s="41"/>
      <x:c r="D46" s="73"/>
      <x:c r="E46" s="73"/>
      <x:c r="F46" s="73"/>
      <x:c r="G46" s="73"/>
      <x:c r="H46" s="73"/>
      <x:c r="I46" s="73"/>
      <x:c r="J46" s="81"/>
      <x:c r="K46" s="73"/>
      <x:c r="L46" s="81"/>
      <x:c r="M46" s="73"/>
      <x:c r="N46" s="81"/>
      <x:c r="O46" s="81"/>
      <x:c r="P46" s="81"/>
      <x:c r="Q46" s="81"/>
      <x:c r="R46" s="81"/>
      <x:c r="S46" s="81"/>
      <x:c r="T46" s="81"/>
      <x:c r="U46" s="81"/>
      <x:c r="V46" s="81"/>
      <x:c r="W46" s="83" t="str">
        <x:f>IF(A46="","",SUM(O46:V46))</x:f>
      </x:c>
      <x:c r="X46" s="83" t="str">
        <x:f>IF(A46="","",IF(W46&gt;=8,2,IF(W46&gt;=3,1,0)))</x:f>
      </x:c>
      <x:c r="Y46" s="73"/>
      <x:c r="Z46" s="73"/>
      <x:c r="AA46" s="73"/>
      <x:c r="AB46" s="81"/>
      <x:c r="AC46" s="85" t="str">
        <x:f>IF(A46="","",SUM(J46,L46,N46,X46,AB46))</x:f>
      </x:c>
      <x:c r="AD46" s="85" t="str">
        <x:f>IF(A46="","",IF(F46&lt;&gt;"Reviewed","REVIEW",IF(AND(AC46&gt;=8,J46&gt;=1,X46&gt;=1),"CONTACT NOW",IF(AC46&gt;=6,"RESEARCH MORE","REPLACE"))))</x:f>
      </x:c>
      <x:c r="AE46" s="73"/>
      <x:c r="AF46" s="73"/>
      <x:c r="AG46" s="87"/>
      <x:c r="AH46" s="87"/>
      <x:c r="AI46" s="75"/>
    </x:row>
    <x:row r="47">
      <x:c r="A47" s="40"/>
      <x:c r="B47" s="41"/>
      <x:c r="C47" s="41"/>
      <x:c r="D47" s="73"/>
      <x:c r="E47" s="73"/>
      <x:c r="F47" s="73"/>
      <x:c r="G47" s="73"/>
      <x:c r="H47" s="73"/>
      <x:c r="I47" s="73"/>
      <x:c r="J47" s="81"/>
      <x:c r="K47" s="73"/>
      <x:c r="L47" s="81"/>
      <x:c r="M47" s="73"/>
      <x:c r="N47" s="81"/>
      <x:c r="O47" s="81"/>
      <x:c r="P47" s="81"/>
      <x:c r="Q47" s="81"/>
      <x:c r="R47" s="81"/>
      <x:c r="S47" s="81"/>
      <x:c r="T47" s="81"/>
      <x:c r="U47" s="81"/>
      <x:c r="V47" s="81"/>
      <x:c r="W47" s="83" t="str">
        <x:f>IF(A47="","",SUM(O47:V47))</x:f>
      </x:c>
      <x:c r="X47" s="83" t="str">
        <x:f>IF(A47="","",IF(W47&gt;=8,2,IF(W47&gt;=3,1,0)))</x:f>
      </x:c>
      <x:c r="Y47" s="73"/>
      <x:c r="Z47" s="73"/>
      <x:c r="AA47" s="73"/>
      <x:c r="AB47" s="81"/>
      <x:c r="AC47" s="85" t="str">
        <x:f>IF(A47="","",SUM(J47,L47,N47,X47,AB47))</x:f>
      </x:c>
      <x:c r="AD47" s="85" t="str">
        <x:f>IF(A47="","",IF(F47&lt;&gt;"Reviewed","REVIEW",IF(AND(AC47&gt;=8,J47&gt;=1,X47&gt;=1),"CONTACT NOW",IF(AC47&gt;=6,"RESEARCH MORE","REPLACE"))))</x:f>
      </x:c>
      <x:c r="AE47" s="73"/>
      <x:c r="AF47" s="73"/>
      <x:c r="AG47" s="87"/>
      <x:c r="AH47" s="87"/>
      <x:c r="AI47" s="75"/>
    </x:row>
    <x:row r="48">
      <x:c r="A48" s="40"/>
      <x:c r="B48" s="41"/>
      <x:c r="C48" s="41"/>
      <x:c r="D48" s="73"/>
      <x:c r="E48" s="73"/>
      <x:c r="F48" s="73"/>
      <x:c r="G48" s="73"/>
      <x:c r="H48" s="73"/>
      <x:c r="I48" s="73"/>
      <x:c r="J48" s="81"/>
      <x:c r="K48" s="73"/>
      <x:c r="L48" s="81"/>
      <x:c r="M48" s="73"/>
      <x:c r="N48" s="81"/>
      <x:c r="O48" s="81"/>
      <x:c r="P48" s="81"/>
      <x:c r="Q48" s="81"/>
      <x:c r="R48" s="81"/>
      <x:c r="S48" s="81"/>
      <x:c r="T48" s="81"/>
      <x:c r="U48" s="81"/>
      <x:c r="V48" s="81"/>
      <x:c r="W48" s="83" t="str">
        <x:f>IF(A48="","",SUM(O48:V48))</x:f>
      </x:c>
      <x:c r="X48" s="83" t="str">
        <x:f>IF(A48="","",IF(W48&gt;=8,2,IF(W48&gt;=3,1,0)))</x:f>
      </x:c>
      <x:c r="Y48" s="73"/>
      <x:c r="Z48" s="73"/>
      <x:c r="AA48" s="73"/>
      <x:c r="AB48" s="81"/>
      <x:c r="AC48" s="85" t="str">
        <x:f>IF(A48="","",SUM(J48,L48,N48,X48,AB48))</x:f>
      </x:c>
      <x:c r="AD48" s="85" t="str">
        <x:f>IF(A48="","",IF(F48&lt;&gt;"Reviewed","REVIEW",IF(AND(AC48&gt;=8,J48&gt;=1,X48&gt;=1),"CONTACT NOW",IF(AC48&gt;=6,"RESEARCH MORE","REPLACE"))))</x:f>
      </x:c>
      <x:c r="AE48" s="73"/>
      <x:c r="AF48" s="73"/>
      <x:c r="AG48" s="87"/>
      <x:c r="AH48" s="87"/>
      <x:c r="AI48" s="75"/>
    </x:row>
    <x:row r="49">
      <x:c r="A49" s="40"/>
      <x:c r="B49" s="41"/>
      <x:c r="C49" s="41"/>
      <x:c r="D49" s="73"/>
      <x:c r="E49" s="73"/>
      <x:c r="F49" s="73"/>
      <x:c r="G49" s="73"/>
      <x:c r="H49" s="73"/>
      <x:c r="I49" s="73"/>
      <x:c r="J49" s="81"/>
      <x:c r="K49" s="73"/>
      <x:c r="L49" s="81"/>
      <x:c r="M49" s="73"/>
      <x:c r="N49" s="81"/>
      <x:c r="O49" s="81"/>
      <x:c r="P49" s="81"/>
      <x:c r="Q49" s="81"/>
      <x:c r="R49" s="81"/>
      <x:c r="S49" s="81"/>
      <x:c r="T49" s="81"/>
      <x:c r="U49" s="81"/>
      <x:c r="V49" s="81"/>
      <x:c r="W49" s="83" t="str">
        <x:f>IF(A49="","",SUM(O49:V49))</x:f>
      </x:c>
      <x:c r="X49" s="83" t="str">
        <x:f>IF(A49="","",IF(W49&gt;=8,2,IF(W49&gt;=3,1,0)))</x:f>
      </x:c>
      <x:c r="Y49" s="73"/>
      <x:c r="Z49" s="73"/>
      <x:c r="AA49" s="73"/>
      <x:c r="AB49" s="81"/>
      <x:c r="AC49" s="85" t="str">
        <x:f>IF(A49="","",SUM(J49,L49,N49,X49,AB49))</x:f>
      </x:c>
      <x:c r="AD49" s="85" t="str">
        <x:f>IF(A49="","",IF(F49&lt;&gt;"Reviewed","REVIEW",IF(AND(AC49&gt;=8,J49&gt;=1,X49&gt;=1),"CONTACT NOW",IF(AC49&gt;=6,"RESEARCH MORE","REPLACE"))))</x:f>
      </x:c>
      <x:c r="AE49" s="73"/>
      <x:c r="AF49" s="73"/>
      <x:c r="AG49" s="87"/>
      <x:c r="AH49" s="87"/>
      <x:c r="AI49" s="75"/>
    </x:row>
    <x:row r="50">
      <x:c r="A50" s="40"/>
      <x:c r="B50" s="41"/>
      <x:c r="C50" s="41"/>
      <x:c r="D50" s="73"/>
      <x:c r="E50" s="73"/>
      <x:c r="F50" s="73"/>
      <x:c r="G50" s="73"/>
      <x:c r="H50" s="73"/>
      <x:c r="I50" s="73"/>
      <x:c r="J50" s="81"/>
      <x:c r="K50" s="73"/>
      <x:c r="L50" s="81"/>
      <x:c r="M50" s="73"/>
      <x:c r="N50" s="81"/>
      <x:c r="O50" s="81"/>
      <x:c r="P50" s="81"/>
      <x:c r="Q50" s="81"/>
      <x:c r="R50" s="81"/>
      <x:c r="S50" s="81"/>
      <x:c r="T50" s="81"/>
      <x:c r="U50" s="81"/>
      <x:c r="V50" s="81"/>
      <x:c r="W50" s="83" t="str">
        <x:f>IF(A50="","",SUM(O50:V50))</x:f>
      </x:c>
      <x:c r="X50" s="83" t="str">
        <x:f>IF(A50="","",IF(W50&gt;=8,2,IF(W50&gt;=3,1,0)))</x:f>
      </x:c>
      <x:c r="Y50" s="73"/>
      <x:c r="Z50" s="73"/>
      <x:c r="AA50" s="73"/>
      <x:c r="AB50" s="81"/>
      <x:c r="AC50" s="85" t="str">
        <x:f>IF(A50="","",SUM(J50,L50,N50,X50,AB50))</x:f>
      </x:c>
      <x:c r="AD50" s="85" t="str">
        <x:f>IF(A50="","",IF(F50&lt;&gt;"Reviewed","REVIEW",IF(AND(AC50&gt;=8,J50&gt;=1,X50&gt;=1),"CONTACT NOW",IF(AC50&gt;=6,"RESEARCH MORE","REPLACE"))))</x:f>
      </x:c>
      <x:c r="AE50" s="73"/>
      <x:c r="AF50" s="73"/>
      <x:c r="AG50" s="87"/>
      <x:c r="AH50" s="87"/>
      <x:c r="AI50" s="75"/>
    </x:row>
    <x:row r="51">
      <x:c r="A51" s="40"/>
      <x:c r="B51" s="41"/>
      <x:c r="C51" s="41"/>
      <x:c r="D51" s="73"/>
      <x:c r="E51" s="73"/>
      <x:c r="F51" s="73"/>
      <x:c r="G51" s="73"/>
      <x:c r="H51" s="73"/>
      <x:c r="I51" s="73"/>
      <x:c r="J51" s="81"/>
      <x:c r="K51" s="73"/>
      <x:c r="L51" s="81"/>
      <x:c r="M51" s="73"/>
      <x:c r="N51" s="81"/>
      <x:c r="O51" s="81"/>
      <x:c r="P51" s="81"/>
      <x:c r="Q51" s="81"/>
      <x:c r="R51" s="81"/>
      <x:c r="S51" s="81"/>
      <x:c r="T51" s="81"/>
      <x:c r="U51" s="81"/>
      <x:c r="V51" s="81"/>
      <x:c r="W51" s="83" t="str">
        <x:f>IF(A51="","",SUM(O51:V51))</x:f>
      </x:c>
      <x:c r="X51" s="83" t="str">
        <x:f>IF(A51="","",IF(W51&gt;=8,2,IF(W51&gt;=3,1,0)))</x:f>
      </x:c>
      <x:c r="Y51" s="73"/>
      <x:c r="Z51" s="73"/>
      <x:c r="AA51" s="73"/>
      <x:c r="AB51" s="81"/>
      <x:c r="AC51" s="85" t="str">
        <x:f>IF(A51="","",SUM(J51,L51,N51,X51,AB51))</x:f>
      </x:c>
      <x:c r="AD51" s="85" t="str">
        <x:f>IF(A51="","",IF(F51&lt;&gt;"Reviewed","REVIEW",IF(AND(AC51&gt;=8,J51&gt;=1,X51&gt;=1),"CONTACT NOW",IF(AC51&gt;=6,"RESEARCH MORE","REPLACE"))))</x:f>
      </x:c>
      <x:c r="AE51" s="73"/>
      <x:c r="AF51" s="73"/>
      <x:c r="AG51" s="87"/>
      <x:c r="AH51" s="87"/>
      <x:c r="AI51" s="75"/>
    </x:row>
    <x:row r="52">
      <x:c r="A52" s="40"/>
      <x:c r="B52" s="41"/>
      <x:c r="C52" s="41"/>
      <x:c r="D52" s="73"/>
      <x:c r="E52" s="73"/>
      <x:c r="F52" s="73"/>
      <x:c r="G52" s="73"/>
      <x:c r="H52" s="73"/>
      <x:c r="I52" s="73"/>
      <x:c r="J52" s="81"/>
      <x:c r="K52" s="73"/>
      <x:c r="L52" s="81"/>
      <x:c r="M52" s="73"/>
      <x:c r="N52" s="81"/>
      <x:c r="O52" s="81"/>
      <x:c r="P52" s="81"/>
      <x:c r="Q52" s="81"/>
      <x:c r="R52" s="81"/>
      <x:c r="S52" s="81"/>
      <x:c r="T52" s="81"/>
      <x:c r="U52" s="81"/>
      <x:c r="V52" s="81"/>
      <x:c r="W52" s="83" t="str">
        <x:f>IF(A52="","",SUM(O52:V52))</x:f>
      </x:c>
      <x:c r="X52" s="83" t="str">
        <x:f>IF(A52="","",IF(W52&gt;=8,2,IF(W52&gt;=3,1,0)))</x:f>
      </x:c>
      <x:c r="Y52" s="73"/>
      <x:c r="Z52" s="73"/>
      <x:c r="AA52" s="73"/>
      <x:c r="AB52" s="81"/>
      <x:c r="AC52" s="85" t="str">
        <x:f>IF(A52="","",SUM(J52,L52,N52,X52,AB52))</x:f>
      </x:c>
      <x:c r="AD52" s="85" t="str">
        <x:f>IF(A52="","",IF(F52&lt;&gt;"Reviewed","REVIEW",IF(AND(AC52&gt;=8,J52&gt;=1,X52&gt;=1),"CONTACT NOW",IF(AC52&gt;=6,"RESEARCH MORE","REPLACE"))))</x:f>
      </x:c>
      <x:c r="AE52" s="73"/>
      <x:c r="AF52" s="73"/>
      <x:c r="AG52" s="87"/>
      <x:c r="AH52" s="87"/>
      <x:c r="AI52" s="75"/>
    </x:row>
    <x:row r="53">
      <x:c r="A53" s="40"/>
      <x:c r="B53" s="41"/>
      <x:c r="C53" s="41"/>
      <x:c r="D53" s="73"/>
      <x:c r="E53" s="73"/>
      <x:c r="F53" s="73"/>
      <x:c r="G53" s="73"/>
      <x:c r="H53" s="73"/>
      <x:c r="I53" s="73"/>
      <x:c r="J53" s="81"/>
      <x:c r="K53" s="73"/>
      <x:c r="L53" s="81"/>
      <x:c r="M53" s="73"/>
      <x:c r="N53" s="81"/>
      <x:c r="O53" s="81"/>
      <x:c r="P53" s="81"/>
      <x:c r="Q53" s="81"/>
      <x:c r="R53" s="81"/>
      <x:c r="S53" s="81"/>
      <x:c r="T53" s="81"/>
      <x:c r="U53" s="81"/>
      <x:c r="V53" s="81"/>
      <x:c r="W53" s="83" t="str">
        <x:f>IF(A53="","",SUM(O53:V53))</x:f>
      </x:c>
      <x:c r="X53" s="83" t="str">
        <x:f>IF(A53="","",IF(W53&gt;=8,2,IF(W53&gt;=3,1,0)))</x:f>
      </x:c>
      <x:c r="Y53" s="73"/>
      <x:c r="Z53" s="73"/>
      <x:c r="AA53" s="73"/>
      <x:c r="AB53" s="81"/>
      <x:c r="AC53" s="85" t="str">
        <x:f>IF(A53="","",SUM(J53,L53,N53,X53,AB53))</x:f>
      </x:c>
      <x:c r="AD53" s="85" t="str">
        <x:f>IF(A53="","",IF(F53&lt;&gt;"Reviewed","REVIEW",IF(AND(AC53&gt;=8,J53&gt;=1,X53&gt;=1),"CONTACT NOW",IF(AC53&gt;=6,"RESEARCH MORE","REPLACE"))))</x:f>
      </x:c>
      <x:c r="AE53" s="73"/>
      <x:c r="AF53" s="73"/>
      <x:c r="AG53" s="87"/>
      <x:c r="AH53" s="87"/>
      <x:c r="AI53" s="75"/>
    </x:row>
    <x:row r="54">
      <x:c r="A54" s="40"/>
      <x:c r="B54" s="41"/>
      <x:c r="C54" s="41"/>
      <x:c r="D54" s="73"/>
      <x:c r="E54" s="73"/>
      <x:c r="F54" s="73"/>
      <x:c r="G54" s="73"/>
      <x:c r="H54" s="73"/>
      <x:c r="I54" s="73"/>
      <x:c r="J54" s="81"/>
      <x:c r="K54" s="73"/>
      <x:c r="L54" s="81"/>
      <x:c r="M54" s="73"/>
      <x:c r="N54" s="81"/>
      <x:c r="O54" s="81"/>
      <x:c r="P54" s="81"/>
      <x:c r="Q54" s="81"/>
      <x:c r="R54" s="81"/>
      <x:c r="S54" s="81"/>
      <x:c r="T54" s="81"/>
      <x:c r="U54" s="81"/>
      <x:c r="V54" s="81"/>
      <x:c r="W54" s="83" t="str">
        <x:f>IF(A54="","",SUM(O54:V54))</x:f>
      </x:c>
      <x:c r="X54" s="83" t="str">
        <x:f>IF(A54="","",IF(W54&gt;=8,2,IF(W54&gt;=3,1,0)))</x:f>
      </x:c>
      <x:c r="Y54" s="73"/>
      <x:c r="Z54" s="73"/>
      <x:c r="AA54" s="73"/>
      <x:c r="AB54" s="81"/>
      <x:c r="AC54" s="85" t="str">
        <x:f>IF(A54="","",SUM(J54,L54,N54,X54,AB54))</x:f>
      </x:c>
      <x:c r="AD54" s="85" t="str">
        <x:f>IF(A54="","",IF(F54&lt;&gt;"Reviewed","REVIEW",IF(AND(AC54&gt;=8,J54&gt;=1,X54&gt;=1),"CONTACT NOW",IF(AC54&gt;=6,"RESEARCH MORE","REPLACE"))))</x:f>
      </x:c>
      <x:c r="AE54" s="73"/>
      <x:c r="AF54" s="73"/>
      <x:c r="AG54" s="87"/>
      <x:c r="AH54" s="87"/>
      <x:c r="AI54" s="75"/>
    </x:row>
  </x:sheetData>
  <x:mergeCells>
    <x:mergeCell ref="A1:AI1"/>
    <x:mergeCell ref="A2:AI2"/>
  </x:mergeCells>
  <x:conditionalFormatting sqref="AD5:AD54">
    <x:cfRule type="containsText" dxfId="0" priority="1" operator="containsText" text="CONTACT NOW"/>
    <x:cfRule type="containsText" dxfId="1" priority="2" operator="containsText" text="RESEARCH MORE"/>
    <x:cfRule type="containsText" dxfId="2" priority="3" operator="containsText" text="REPLACE"/>
  </x:conditionalFormatting>
  <x:dataValidations count="6">
    <x:dataValidation type="list" sqref="F5:F54">
      <x:formula1>"Not Started,In Review,Reviewed"</x:formula1>
    </x:dataValidation>
    <x:dataValidation type="list" sqref="AF5:AF54">
      <x:formula1>"Not Contacted,Qualified,Messaged,Replied,Call Booked,Call Held,Audit Offered,Audit Paid,Proposal Sent,Won,Lost"</x:formula1>
    </x:dataValidation>
    <x:dataValidation type="list" sqref="J5:J54">
      <x:formula1>"0,1,2"</x:formula1>
    </x:dataValidation>
    <x:dataValidation type="list" sqref="L5:L54">
      <x:formula1>"0,1,2"</x:formula1>
    </x:dataValidation>
    <x:dataValidation type="list" sqref="N5:V54">
      <x:formula1>"0,1,2"</x:formula1>
    </x:dataValidation>
    <x:dataValidation type="list" sqref="AB5:AB54">
      <x:formula1>"0,1,2"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1.670000076293945" hidden="0" customWidth="1"/>
    <x:col min="3" max="3" width="20" hidden="0" customWidth="1"/>
    <x:col min="4" max="4" width="26.670000076293945" hidden="0" customWidth="1"/>
    <x:col min="5" max="5" width="25" hidden="0" customWidth="1"/>
    <x:col min="6" max="6" width="24.440000534057617" hidden="0" customWidth="1"/>
    <x:col min="7" max="7" width="25" hidden="0" customWidth="1"/>
    <x:col min="8" max="8" width="28.329999923706055" hidden="0" customWidth="1"/>
    <x:col min="9" max="9" width="25.559999465942383" hidden="0" customWidth="1"/>
  </x:cols>
  <x:sheetData>
    <x:row r="1" ht="25.5" customHeight="1">
      <x:c r="A1" s="50" t="str">
        <x:v>Lead-to-Enrollment Friction Library</x:v>
      </x:c>
      <x:c r="B1" s="50"/>
      <x:c r="C1" s="50"/>
      <x:c r="D1" s="50"/>
      <x:c r="E1" s="50"/>
      <x:c r="F1" s="50"/>
      <x:c r="G1" s="50"/>
      <x:c r="H1" s="50"/>
      <x:c r="I1" s="50"/>
    </x:row>
    <x:row r="2" ht="24" customHeight="1">
      <x:c r="A2" s="54" t="str">
        <x:v>Score 0 = no issue observed, 1 = possible/uncertain friction, 2 = clear observable friction. Phrase unverified conclusions as hypotheses.</x:v>
      </x:c>
      <x:c r="B2" s="54"/>
      <x:c r="C2" s="54"/>
      <x:c r="D2" s="54"/>
      <x:c r="E2" s="54"/>
      <x:c r="F2" s="54"/>
      <x:c r="G2" s="54"/>
      <x:c r="H2" s="54"/>
      <x:c r="I2" s="54"/>
    </x:row>
    <x:row r="4" ht="30" customHeight="1">
      <x:c r="A4" s="23" t="str">
        <x:v>ID</x:v>
      </x:c>
      <x:c r="B4" s="23" t="str">
        <x:v>Journey Stage</x:v>
      </x:c>
      <x:c r="C4" s="23" t="str">
        <x:v>Friction</x:v>
      </x:c>
      <x:c r="D4" s="23" t="str">
        <x:v>What To Inspect</x:v>
      </x:c>
      <x:c r="E4" s="23" t="str">
        <x:v>Evidence To Record</x:v>
      </x:c>
      <x:c r="F4" s="23" t="str">
        <x:v>Likely Consequence</x:v>
      </x:c>
      <x:c r="G4" s="23" t="str">
        <x:v>When Score = 2</x:v>
      </x:c>
      <x:c r="H4" s="23" t="str">
        <x:v>Safe Language</x:v>
      </x:c>
      <x:c r="I4" s="23" t="str">
        <x:v>Possible Fix Direction</x:v>
      </x:c>
    </x:row>
    <x:row r="5">
      <x:c r="A5" s="92" t="str">
        <x:v>F01</x:v>
      </x:c>
      <x:c r="B5" s="38" t="str">
        <x:v>Discovery</x:v>
      </x:c>
      <x:c r="C5" s="38" t="str">
        <x:v>Unclear main call to action</x:v>
      </x:c>
      <x:c r="D5" s="38" t="str">
        <x:v>Can a parent immediately see how to start?</x:v>
      </x:c>
      <x:c r="E5" s="38" t="str">
        <x:v>CTA text, placement, competing buttons</x:v>
      </x:c>
      <x:c r="F5" s="38" t="str">
        <x:v>Visitors hesitate or choose the wrong path</x:v>
      </x:c>
      <x:c r="G5" s="38" t="str">
        <x:v>No obvious assessment/trial/enrollment CTA</x:v>
      </x:c>
      <x:c r="H5" s="38" t="str">
        <x:v>I could not identify a single clear first step.</x:v>
      </x:c>
      <x:c r="I5" s="39" t="str">
        <x:v>Clarify one primary CTA by visitor intent.</x:v>
      </x:c>
    </x:row>
    <x:row r="6">
      <x:c r="A6" s="93" t="str">
        <x:v>F02</x:v>
      </x:c>
      <x:c r="B6" s="41" t="str">
        <x:v>Decision</x:v>
      </x:c>
      <x:c r="C6" s="41" t="str">
        <x:v>Pricing is hidden or hard to interpret</x:v>
      </x:c>
      <x:c r="D6" s="41" t="str">
        <x:v>Can the buyer estimate cost before inquiry?</x:v>
      </x:c>
      <x:c r="E6" s="41" t="str">
        <x:v>Pricing page, ranges, fees, required call</x:v>
      </x:c>
      <x:c r="F6" s="41" t="str">
        <x:v>Low-intent inquiries and avoidable staff questions</x:v>
      </x:c>
      <x:c r="G6" s="41" t="str">
        <x:v>No price/range and no reason for withholding it</x:v>
      </x:c>
      <x:c r="H6" s="41" t="str">
        <x:v>Pricing may require staff explanation before a buyer can proceed.</x:v>
      </x:c>
      <x:c r="I6" s="42" t="str">
        <x:v>Show starting price, range, or qualification logic.</x:v>
      </x:c>
    </x:row>
    <x:row r="7">
      <x:c r="A7" s="93" t="str">
        <x:v>F03</x:v>
      </x:c>
      <x:c r="B7" s="41" t="str">
        <x:v>Decision</x:v>
      </x:c>
      <x:c r="C7" s="41" t="str">
        <x:v>Availability is not visible</x:v>
      </x:c>
      <x:c r="D7" s="41" t="str">
        <x:v>Can the customer see suitable slots/classes?</x:v>
      </x:c>
      <x:c r="E7" s="41" t="str">
        <x:v>Class timetable, capacity, location availability</x:v>
      </x:c>
      <x:c r="F7" s="41" t="str">
        <x:v>More inquiries require manual checking</x:v>
      </x:c>
      <x:c r="G7" s="41" t="str">
        <x:v>Customer must call/email to discover any availability</x:v>
      </x:c>
      <x:c r="H7" s="41" t="str">
        <x:v>Availability appears to require a manual check.</x:v>
      </x:c>
      <x:c r="I7" s="42" t="str">
        <x:v>Expose eligible classes or a guided availability request.</x:v>
      </x:c>
    </x:row>
    <x:row r="8">
      <x:c r="A8" s="93" t="str">
        <x:v>F04</x:v>
      </x:c>
      <x:c r="B8" s="41" t="str">
        <x:v>Inquiry</x:v>
      </x:c>
      <x:c r="C8" s="41" t="str">
        <x:v>Generic inquiry form</x:v>
      </x:c>
      <x:c r="D8" s="41" t="str">
        <x:v>Does the form collect intent, swimmer age/level, location and timing?</x:v>
      </x:c>
      <x:c r="E8" s="41" t="str">
        <x:v>Fields, routing questions, confirmation</x:v>
      </x:c>
      <x:c r="F8" s="41" t="str">
        <x:v>Staff must re-contact and re-qualify every lead</x:v>
      </x:c>
      <x:c r="G8" s="41" t="str">
        <x:v>Form captures only name/email/message</x:v>
      </x:c>
      <x:c r="H8" s="41" t="str">
        <x:v>The current form may leave the team to re-qualify each inquiry manually.</x:v>
      </x:c>
      <x:c r="I8" s="42" t="str">
        <x:v>Use intent-based fields and routing.</x:v>
      </x:c>
    </x:row>
    <x:row r="9">
      <x:c r="A9" s="93" t="str">
        <x:v>F05</x:v>
      </x:c>
      <x:c r="B9" s="41" t="str">
        <x:v>Assessment</x:v>
      </x:c>
      <x:c r="C9" s="41" t="str">
        <x:v>Assessment/trial booking is separate or manual</x:v>
      </x:c>
      <x:c r="D9" s="41" t="str">
        <x:v>Can a customer book a time immediately?</x:v>
      </x:c>
      <x:c r="E9" s="41" t="str">
        <x:v>Calendar, request form, phone/email handoff</x:v>
      </x:c>
      <x:c r="F9" s="41" t="str">
        <x:v>Delay and drop-off before assessment</x:v>
      </x:c>
      <x:c r="G9" s="41" t="str">
        <x:v>Request is submitted but no slot can be chosen</x:v>
      </x:c>
      <x:c r="H9" s="41" t="str">
        <x:v>There may be a manual handoff between inquiry and assessment booking.</x:v>
      </x:c>
      <x:c r="I9" s="42" t="str">
        <x:v>Add rules-based scheduling and confirmations.</x:v>
      </x:c>
    </x:row>
    <x:row r="10">
      <x:c r="A10" s="93" t="str">
        <x:v>F06</x:v>
      </x:c>
      <x:c r="B10" s="41" t="str">
        <x:v>Placement</x:v>
      </x:c>
      <x:c r="C10" s="41" t="str">
        <x:v>Level placement is unclear</x:v>
      </x:c>
      <x:c r="D10" s="41" t="str">
        <x:v>Can customers understand level criteria and next step?</x:v>
      </x:c>
      <x:c r="E10" s="41" t="str">
        <x:v>Level descriptions, quiz, assessment requirement</x:v>
      </x:c>
      <x:c r="F10" s="41" t="str">
        <x:v>Wrong class requests and staff clarification</x:v>
      </x:c>
      <x:c r="G10" s="41" t="str">
        <x:v>No way to narrow level without a staff conversation</x:v>
      </x:c>
      <x:c r="H10" s="41" t="str">
        <x:v>Level selection may depend heavily on staff clarification.</x:v>
      </x:c>
      <x:c r="I10" s="42" t="str">
        <x:v>Add level finder or structured assessment path.</x:v>
      </x:c>
    </x:row>
    <x:row r="11">
      <x:c r="A11" s="93" t="str">
        <x:v>F07</x:v>
      </x:c>
      <x:c r="B11" s="41" t="str">
        <x:v>Placement</x:v>
      </x:c>
      <x:c r="C11" s="41" t="str">
        <x:v>Location routing is unclear</x:v>
      </x:c>
      <x:c r="D11" s="41" t="str">
        <x:v>Can customers select the correct location and see its offerings?</x:v>
      </x:c>
      <x:c r="E11" s="41" t="str">
        <x:v>Location finder, distance, program differences</x:v>
      </x:c>
      <x:c r="F11" s="41" t="str">
        <x:v>Leads reach the wrong team or abandon</x:v>
      </x:c>
      <x:c r="G11" s="41" t="str">
        <x:v>Locations have inconsistent or unclear paths</x:v>
      </x:c>
      <x:c r="H11" s="41" t="str">
        <x:v>The location handoff may create extra routing work.</x:v>
      </x:c>
      <x:c r="I11" s="42" t="str">
        <x:v>Route by postcode/location and program availability.</x:v>
      </x:c>
    </x:row>
    <x:row r="12">
      <x:c r="A12" s="93" t="str">
        <x:v>F08</x:v>
      </x:c>
      <x:c r="B12" s="41" t="str">
        <x:v>Registration</x:v>
      </x:c>
      <x:c r="C12" s="41" t="str">
        <x:v>Repeated data entry or multiple portals</x:v>
      </x:c>
      <x:c r="D12" s="41" t="str">
        <x:v>Does the user re-enter details across inquiry, registration and waiver?</x:v>
      </x:c>
      <x:c r="E12" s="41" t="str">
        <x:v>Portal changes, duplicate fields, separate logins</x:v>
      </x:c>
      <x:c r="F12" s="41" t="str">
        <x:v>Longer completion time and errors</x:v>
      </x:c>
      <x:c r="G12" s="41" t="str">
        <x:v>Same details are requested in separate systems</x:v>
      </x:c>
      <x:c r="H12" s="41" t="str">
        <x:v>The journey appears to repeat information across steps.</x:v>
      </x:c>
      <x:c r="I12" s="42" t="str">
        <x:v>Carry data forward or integrate systems.</x:v>
      </x:c>
    </x:row>
    <x:row r="13">
      <x:c r="A13" s="93" t="str">
        <x:v>F09</x:v>
      </x:c>
      <x:c r="B13" s="41" t="str">
        <x:v>Registration</x:v>
      </x:c>
      <x:c r="C13" s="41" t="str">
        <x:v>Waiver is a separate handoff</x:v>
      </x:c>
      <x:c r="D13" s="41" t="str">
        <x:v>Is the waiver embedded in registration?</x:v>
      </x:c>
      <x:c r="E13" s="41" t="str">
        <x:v>Email link, PDF, separate portal</x:v>
      </x:c>
      <x:c r="F13" s="41" t="str">
        <x:v>Incomplete registrations and staff chasing</x:v>
      </x:c>
      <x:c r="G13" s="41" t="str">
        <x:v>Registration can proceed while waiver remains separate</x:v>
      </x:c>
      <x:c r="H13" s="41" t="str">
        <x:v>Waiver completion may require separate follow-up.</x:v>
      </x:c>
      <x:c r="I13" s="42" t="str">
        <x:v>Embed e-signature and status tracking.</x:v>
      </x:c>
    </x:row>
    <x:row r="14">
      <x:c r="A14" s="93" t="str">
        <x:v>F10</x:v>
      </x:c>
      <x:c r="B14" s="41" t="str">
        <x:v>Payment</x:v>
      </x:c>
      <x:c r="C14" s="41" t="str">
        <x:v>Payment is delayed or separate</x:v>
      </x:c>
      <x:c r="D14" s="41" t="str">
        <x:v>Can the customer complete payment in the same flow?</x:v>
      </x:c>
      <x:c r="E14" s="41" t="str">
        <x:v>Invoice later, phone payment, separate checkout</x:v>
      </x:c>
      <x:c r="F14" s="41" t="str">
        <x:v>Reserved slots without payment and manual reconciliation</x:v>
      </x:c>
      <x:c r="G14" s="41" t="str">
        <x:v>Payment requires a later staff action or different system</x:v>
      </x:c>
      <x:c r="H14" s="41" t="str">
        <x:v>Payment may be a separate operational handoff.</x:v>
      </x:c>
      <x:c r="I14" s="42" t="str">
        <x:v>Integrate checkout, deposits and payment status.</x:v>
      </x:c>
    </x:row>
    <x:row r="15">
      <x:c r="A15" s="93" t="str">
        <x:v>F11</x:v>
      </x:c>
      <x:c r="B15" s="41" t="str">
        <x:v>Confirmation</x:v>
      </x:c>
      <x:c r="C15" s="41" t="str">
        <x:v>No immediate clear confirmation</x:v>
      </x:c>
      <x:c r="D15" s="41" t="str">
        <x:v>Does the customer know the request succeeded?</x:v>
      </x:c>
      <x:c r="E15" s="41" t="str">
        <x:v>Confirmation page/email, reference number</x:v>
      </x:c>
      <x:c r="F15" s="41" t="str">
        <x:v>Duplicate inquiries and uncertainty</x:v>
      </x:c>
      <x:c r="G15" s="41" t="str">
        <x:v>No explicit success message or next-step timing</x:v>
      </x:c>
      <x:c r="H15" s="41" t="str">
        <x:v>The post-submit confirmation may not set a clear expectation.</x:v>
      </x:c>
      <x:c r="I15" s="42" t="str">
        <x:v>Immediate confirmation with owner and timing.</x:v>
      </x:c>
    </x:row>
    <x:row r="16">
      <x:c r="A16" s="93" t="str">
        <x:v>F12</x:v>
      </x:c>
      <x:c r="B16" s="41" t="str">
        <x:v>Follow-up</x:v>
      </x:c>
      <x:c r="C16" s="41" t="str">
        <x:v>Next steps and response time are unclear</x:v>
      </x:c>
      <x:c r="D16" s="41" t="str">
        <x:v>Does the site state what happens and when?</x:v>
      </x:c>
      <x:c r="E16" s="41" t="str">
        <x:v>Response SLA, assessment instructions, owner</x:v>
      </x:c>
      <x:c r="F16" s="41" t="str">
        <x:v>Customers wait without knowing when to act</x:v>
      </x:c>
      <x:c r="G16" s="41" t="str">
        <x:v>No timeline or responsible team is shown</x:v>
      </x:c>
      <x:c r="H16" s="41" t="str">
        <x:v>The customer may not know what happens after submitting.</x:v>
      </x:c>
      <x:c r="I16" s="42" t="str">
        <x:v>State SLA and automate status updates.</x:v>
      </x:c>
    </x:row>
    <x:row r="17">
      <x:c r="A17" s="93" t="str">
        <x:v>F13</x:v>
      </x:c>
      <x:c r="B17" s="41" t="str">
        <x:v>Waitlist</x:v>
      </x:c>
      <x:c r="C17" s="41" t="str">
        <x:v>Waitlist status is manual</x:v>
      </x:c>
      <x:c r="D17" s="41" t="str">
        <x:v>Can customers join, update or leave a waitlist?</x:v>
      </x:c>
      <x:c r="E17" s="41" t="str">
        <x:v>Waitlist form, status page, notifications</x:v>
      </x:c>
      <x:c r="F17" s="41" t="str">
        <x:v>Staff chasing and stale lists</x:v>
      </x:c>
      <x:c r="G17" s="41" t="str">
        <x:v>Waitlist has no visible status or update mechanism</x:v>
      </x:c>
      <x:c r="H17" s="41" t="str">
        <x:v>Waitlist communication may depend on manual follow-up.</x:v>
      </x:c>
      <x:c r="I17" s="42" t="str">
        <x:v>Automated waitlist status and slot offers.</x:v>
      </x:c>
    </x:row>
    <x:row r="18">
      <x:c r="A18" s="93" t="str">
        <x:v>F14</x:v>
      </x:c>
      <x:c r="B18" s="41" t="str">
        <x:v>Scheduling</x:v>
      </x:c>
      <x:c r="C18" s="41" t="str">
        <x:v>Rescheduling/cancellation depends on calls or email</x:v>
      </x:c>
      <x:c r="D18" s="41" t="str">
        <x:v>Can customers self-serve within policy?</x:v>
      </x:c>
      <x:c r="E18" s="41" t="str">
        <x:v>Portal controls, phone-only instructions</x:v>
      </x:c>
      <x:c r="F18" s="41" t="str">
        <x:v>High support workload and missed slots</x:v>
      </x:c>
      <x:c r="G18" s="41" t="str">
        <x:v>No self-service path for common changes</x:v>
      </x:c>
      <x:c r="H18" s="41" t="str">
        <x:v>Routine schedule changes may require staff intervention.</x:v>
      </x:c>
      <x:c r="I18" s="42" t="str">
        <x:v>Policy-aware self-service rescheduling.</x:v>
      </x:c>
    </x:row>
    <x:row r="19">
      <x:c r="A19" s="93" t="str">
        <x:v>F15</x:v>
      </x:c>
      <x:c r="B19" s="41" t="str">
        <x:v>Matching</x:v>
      </x:c>
      <x:c r="C19" s="41" t="str">
        <x:v>Instructor matching is manual</x:v>
      </x:c>
      <x:c r="D19" s="41" t="str">
        <x:v>For private lessons, how are location, skill and availability matched?</x:v>
      </x:c>
      <x:c r="E19" s="41" t="str">
        <x:v>Questionnaire, matching promise, response delay</x:v>
      </x:c>
      <x:c r="F19" s="41" t="str">
        <x:v>Slow fulfillment and coordination overhead</x:v>
      </x:c>
      <x:c r="G19" s="41" t="str">
        <x:v>No guided matching or immediate next step</x:v>
      </x:c>
      <x:c r="H19" s="41" t="str">
        <x:v>Instructor matching may require several manual coordination steps.</x:v>
      </x:c>
      <x:c r="I19" s="42" t="str">
        <x:v>Rules-based matching with human approval.</x:v>
      </x:c>
    </x:row>
    <x:row r="20">
      <x:c r="A20" s="93" t="str">
        <x:v>F16</x:v>
      </x:c>
      <x:c r="B20" s="41" t="str">
        <x:v>Mobile</x:v>
      </x:c>
      <x:c r="C20" s="41" t="str">
        <x:v>Mobile journey is difficult</x:v>
      </x:c>
      <x:c r="D20" s="41" t="str">
        <x:v>Repeat the journey on a narrow screen</x:v>
      </x:c>
      <x:c r="E20" s="41" t="str">
        <x:v>Clipped controls, long forms, hard-to-tap CTAs</x:v>
      </x:c>
      <x:c r="F20" s="41" t="str">
        <x:v>Higher abandonment on phones</x:v>
      </x:c>
      <x:c r="G20" s="41" t="str">
        <x:v>Critical step is unusable or confusing on mobile</x:v>
      </x:c>
      <x:c r="H20" s="41" t="str">
        <x:v>The mobile path may add avoidable completion friction.</x:v>
      </x:c>
      <x:c r="I20" s="42" t="str">
        <x:v>Responsive form and shorter mobile steps.</x:v>
      </x:c>
    </x:row>
    <x:row r="21">
      <x:c r="A21" s="93" t="str">
        <x:v>F17</x:v>
      </x:c>
      <x:c r="B21" s="41" t="str">
        <x:v>Operations</x:v>
      </x:c>
      <x:c r="C21" s="41" t="str">
        <x:v>Multi-location experience is inconsistent</x:v>
      </x:c>
      <x:c r="D21" s="41" t="str">
        <x:v>Compare two locations or programs</x:v>
      </x:c>
      <x:c r="E21" s="41" t="str">
        <x:v>Different CTAs, tools, forms, policies</x:v>
      </x:c>
      <x:c r="F21" s="41" t="str">
        <x:v>Uneven conversion and fragmented reporting</x:v>
      </x:c>
      <x:c r="G21" s="41" t="str">
        <x:v>Locations use materially different lead paths</x:v>
      </x:c>
      <x:c r="H21" s="41" t="str">
        <x:v>Different locations appear to use inconsistent enrollment steps.</x:v>
      </x:c>
      <x:c r="I21" s="42" t="str">
        <x:v>Standardize core flow with local configuration.</x:v>
      </x:c>
    </x:row>
    <x:row r="22">
      <x:c r="A22" s="93" t="str">
        <x:v>F18</x:v>
      </x:c>
      <x:c r="B22" s="41" t="str">
        <x:v>Recovery</x:v>
      </x:c>
      <x:c r="C22" s="41" t="str">
        <x:v>No visible abandoned-inquiry recovery</x:v>
      </x:c>
      <x:c r="D22" s="41" t="str">
        <x:v>Ask during discovery; do not claim from website alone</x:v>
      </x:c>
      <x:c r="E22" s="41" t="str">
        <x:v>CRM reminders, email/SMS sequences, owner</x:v>
      </x:c>
      <x:c r="F22" s="41" t="str">
        <x:v>Interested leads are forgotten</x:v>
      </x:c>
      <x:c r="G22" s="41" t="str">
        <x:v>Buyer confirms there is no systematic follow-up</x:v>
      </x:c>
      <x:c r="H22" s="41" t="str">
        <x:v>I could not verify how incomplete inquiries are recovered.</x:v>
      </x:c>
      <x:c r="I22" s="42" t="str">
        <x:v>CRM stages, reminders and limited follow-up sequence.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47.779998779296875" hidden="0" customWidth="1"/>
    <x:col min="3" max="3" width="23.329999923706055" hidden="0" customWidth="1"/>
    <x:col min="4" max="4" width="23.329999923706055" hidden="0" customWidth="1"/>
    <x:col min="5" max="5" width="24.440000534057617" hidden="0" customWidth="1"/>
  </x:cols>
  <x:sheetData>
    <x:row r="1" ht="25.5" customHeight="1">
      <x:c r="A1" s="50" t="str">
        <x:v>Lead-to-Enrollment Leak Audit</x:v>
      </x:c>
      <x:c r="B1" s="50"/>
      <x:c r="C1" s="50"/>
      <x:c r="D1" s="50"/>
      <x:c r="E1" s="50"/>
    </x:row>
    <x:row r="2" ht="24" customHeight="1">
      <x:c r="A2" s="54" t="str">
        <x:v>A paid 48-hour diagnostic for a swim school, private-lesson operator, or sports academy. One free observation opens the conversation; the complete diagnosis is paid.</x:v>
      </x:c>
      <x:c r="B2" s="54"/>
      <x:c r="C2" s="54"/>
      <x:c r="D2" s="54"/>
      <x:c r="E2" s="54"/>
    </x:row>
    <x:row r="4" ht="19.5" customHeight="1">
      <x:c r="A4" s="57" t="str">
        <x:v>Commercial Definition</x:v>
      </x:c>
      <x:c r="B4" s="57"/>
      <x:c r="C4" s="57"/>
      <x:c r="D4" s="57"/>
      <x:c r="E4" s="57"/>
    </x:row>
    <x:row r="5" ht="30" customHeight="1">
      <x:c r="A5" s="23" t="str">
        <x:v>Field</x:v>
      </x:c>
      <x:c r="B5" s="23" t="str">
        <x:v>Definition</x:v>
      </x:c>
      <x:c r="C5" s="23" t="str">
        <x:v>Client Outcome</x:v>
      </x:c>
      <x:c r="D5" s="23" t="str">
        <x:v>Boundary</x:v>
      </x:c>
      <x:c r="E5" s="23" t="str">
        <x:v>Your Action</x:v>
      </x:c>
    </x:row>
    <x:row r="6">
      <x:c r="A6" s="37" t="str">
        <x:v>Buyer</x:v>
      </x:c>
      <x:c r="B6" s="38" t="str">
        <x:v>Owner, franchisee, general manager, operations/enrollment leader</x:v>
      </x:c>
      <x:c r="C6" s="38" t="str">
        <x:v>A decision maker owns the result</x:v>
      </x:c>
      <x:c r="D6" s="38" t="str">
        <x:v>Avoid brand HQ unless you have a warm path</x:v>
      </x:c>
      <x:c r="E6" s="39" t="str">
        <x:v>Confirm authority before scoping</x:v>
      </x:c>
    </x:row>
    <x:row r="7">
      <x:c r="A7" s="40" t="str">
        <x:v>Problem</x:v>
      </x:c>
      <x:c r="B7" s="41" t="str">
        <x:v>Leads or staff time are lost between inquiry, assessment, placement, registration, payment and follow-up</x:v>
      </x:c>
      <x:c r="C7" s="41" t="str">
        <x:v>A clearer, measurable enrollment workflow</x:v>
      </x:c>
      <x:c r="D7" s="41" t="str">
        <x:v>Do not claim losses you have not verified</x:v>
      </x:c>
      <x:c r="E7" s="42" t="str">
        <x:v>Use hypothesis language</x:v>
      </x:c>
    </x:row>
    <x:row r="8">
      <x:c r="A8" s="40" t="str">
        <x:v>Price</x:v>
      </x:c>
      <x:c r="B8" s="94" t="n">
        <x:v>400</x:v>
      </x:c>
      <x:c r="C8" s="41" t="str">
        <x:v>Low-risk paid diagnostic</x:v>
      </x:c>
      <x:c r="D8" s="41" t="str">
        <x:v>Paid upfront</x:v>
      </x:c>
      <x:c r="E8" s="42" t="str">
        <x:v>Send invoice/payment link before starting</x:v>
      </x:c>
    </x:row>
    <x:row r="9">
      <x:c r="A9" s="40" t="str">
        <x:v>Delivery</x:v>
      </x:c>
      <x:c r="B9" s="41" t="str">
        <x:v>Within 48 hours after discovery and required access</x:v>
      </x:c>
      <x:c r="C9" s="41" t="str">
        <x:v>Fast decision support</x:v>
      </x:c>
      <x:c r="D9" s="41" t="str">
        <x:v>Timer starts when inputs are available</x:v>
      </x:c>
      <x:c r="E9" s="42" t="str">
        <x:v>Confirm inputs in writing</x:v>
      </x:c>
    </x:row>
    <x:row r="10">
      <x:c r="A10" s="40" t="str">
        <x:v>Credit</x:v>
      </x:c>
      <x:c r="B10" s="41" t="str">
        <x:v>The $400 is credited toward a sprint started within 30 days</x:v>
      </x:c>
      <x:c r="C10" s="41" t="str">
        <x:v>Reduces double payment concern</x:v>
      </x:c>
      <x:c r="D10" s="41" t="str">
        <x:v>Credit is not a refund</x:v>
      </x:c>
      <x:c r="E10" s="42" t="str">
        <x:v>State this in proposal</x:v>
      </x:c>
    </x:row>
    <x:row r="11">
      <x:c r="A11" s="40" t="str">
        <x:v>Free preview</x:v>
      </x:c>
      <x:c r="B11" s="41" t="str">
        <x:v>One specific observation or a 2-3 minute Loom</x:v>
      </x:c>
      <x:c r="C11" s="41" t="str">
        <x:v>Shows relevance and competence</x:v>
      </x:c>
      <x:c r="D11" s="41" t="str">
        <x:v>Not a full teardown</x:v>
      </x:c>
      <x:c r="E11" s="42" t="str">
        <x:v>Stop after one useful point</x:v>
      </x:c>
    </x:row>
    <x:row r="12">
      <x:c r="A12" s="40" t="str">
        <x:v>Next offer</x:v>
      </x:c>
      <x:c r="B12" s="41" t="str">
        <x:v>$1,500-$2,500 fixed-scope implementation sprint</x:v>
      </x:c>
      <x:c r="C12" s="41" t="str">
        <x:v>One workflow improved end to end</x:v>
      </x:c>
      <x:c r="D12" s="41" t="str">
        <x:v>One workflow only</x:v>
      </x:c>
      <x:c r="E12" s="42" t="str">
        <x:v>Request 50% deposit to reserve delivery</x:v>
      </x:c>
    </x:row>
    <x:row r="13">
      <x:c r="A13" s="40" t="str">
        <x:v>Proof</x:v>
      </x:c>
      <x:c r="B13" s="41" t="str">
        <x:v>SwimBuddz operations plus your backend/AI systems experience</x:v>
      </x:c>
      <x:c r="C13" s="41" t="str">
        <x:v>Domain and implementation credibility</x:v>
      </x:c>
      <x:c r="D13" s="41" t="str">
        <x:v>Do not overstate StrokeLab results</x:v>
      </x:c>
      <x:c r="E13" s="42" t="str">
        <x:v>Show relevant architecture or workflow evidence</x:v>
      </x:c>
    </x:row>
    <x:row r="15" ht="19.5" customHeight="1">
      <x:c r="A15" s="57" t="str">
        <x:v>Client Deliverables</x:v>
      </x:c>
      <x:c r="B15" s="57"/>
      <x:c r="C15" s="57"/>
      <x:c r="D15" s="57"/>
      <x:c r="E15" s="57"/>
    </x:row>
    <x:row r="16" ht="30" customHeight="1">
      <x:c r="A16" s="23" t="str">
        <x:v>#</x:v>
      </x:c>
      <x:c r="B16" s="23" t="str">
        <x:v>Deliverable</x:v>
      </x:c>
      <x:c r="C16" s="23" t="str">
        <x:v>What It Contains</x:v>
      </x:c>
      <x:c r="D16" s="23" t="str">
        <x:v>Why It Matters</x:v>
      </x:c>
      <x:c r="E16" s="23" t="str">
        <x:v>Not Included</x:v>
      </x:c>
    </x:row>
    <x:row r="17">
      <x:c r="A17" s="37" t="n">
        <x:v>1</x:v>
      </x:c>
      <x:c r="B17" s="38" t="str">
        <x:v>Current journey map</x:v>
      </x:c>
      <x:c r="C17" s="38" t="str">
        <x:v>Inquiry through enrollment with systems and owners</x:v>
      </x:c>
      <x:c r="D17" s="38" t="str">
        <x:v>Makes handoffs visible</x:v>
      </x:c>
      <x:c r="E17" s="39" t="str">
        <x:v>Implementation</x:v>
      </x:c>
    </x:row>
    <x:row r="18">
      <x:c r="A18" s="40" t="n">
        <x:v>2</x:v>
      </x:c>
      <x:c r="B18" s="41" t="str">
        <x:v>Evidence-based friction list</x:v>
      </x:c>
      <x:c r="C18" s="41" t="str">
        <x:v>Observed issues separated from assumptions</x:v>
      </x:c>
      <x:c r="D18" s="41" t="str">
        <x:v>Prevents generic recommendations</x:v>
      </x:c>
      <x:c r="E18" s="42" t="str">
        <x:v>Claims about unverified conversion loss</x:v>
      </x:c>
    </x:row>
    <x:row r="19">
      <x:c r="A19" s="40" t="n">
        <x:v>3</x:v>
      </x:c>
      <x:c r="B19" s="41" t="str">
        <x:v>Prioritized leak assessment</x:v>
      </x:c>
      <x:c r="C19" s="41" t="str">
        <x:v>Impact, confidence and effort for each issue</x:v>
      </x:c>
      <x:c r="D19" s="41" t="str">
        <x:v>Focuses the buyer on the first decision</x:v>
      </x:c>
      <x:c r="E19" s="42" t="str">
        <x:v>Full analytics rebuild</x:v>
      </x:c>
    </x:row>
    <x:row r="20">
      <x:c r="A20" s="40" t="n">
        <x:v>4</x:v>
      </x:c>
      <x:c r="B20" s="41" t="str">
        <x:v>Three quick wins</x:v>
      </x:c>
      <x:c r="C20" s="41" t="str">
        <x:v>Changes the team can make without a full build</x:v>
      </x:c>
      <x:c r="D20" s="41" t="str">
        <x:v>Creates immediate value</x:v>
      </x:c>
      <x:c r="E20" s="42" t="str">
        <x:v>Unlimited consulting</x:v>
      </x:c>
    </x:row>
    <x:row r="21">
      <x:c r="A21" s="40" t="n">
        <x:v>5</x:v>
      </x:c>
      <x:c r="B21" s="41" t="str">
        <x:v>Implementation blueprint</x:v>
      </x:c>
      <x:c r="C21" s="41" t="str">
        <x:v>One recommended workflow, integrations, safeguards and scope</x:v>
      </x:c>
      <x:c r="D21" s="41" t="str">
        <x:v>Makes build/no-build decision concrete</x:v>
      </x:c>
      <x:c r="E21" s="42" t="str">
        <x:v>Production code</x:v>
      </x:c>
    </x:row>
    <x:row r="22">
      <x:c r="A22" s="40" t="n">
        <x:v>6</x:v>
      </x:c>
      <x:c r="B22" s="41" t="str">
        <x:v>Review call</x:v>
      </x:c>
      <x:c r="C22" s="41" t="str">
        <x:v>30-minute walkthrough and questions</x:v>
      </x:c>
      <x:c r="D22" s="41" t="str">
        <x:v>Creates the sprint decision point</x:v>
      </x:c>
      <x:c r="E22" s="42" t="str">
        <x:v>Open-ended support</x:v>
      </x:c>
    </x:row>
    <x:row r="24" ht="19.5" customHeight="1">
      <x:c r="A24" s="57" t="str">
        <x:v>Discovery Questions</x:v>
      </x:c>
      <x:c r="B24" s="57"/>
      <x:c r="C24" s="57"/>
      <x:c r="D24" s="57"/>
      <x:c r="E24" s="57"/>
    </x:row>
    <x:row r="25" ht="30" customHeight="1">
      <x:c r="A25" s="23" t="str">
        <x:v>#</x:v>
      </x:c>
      <x:c r="B25" s="23" t="str">
        <x:v>Question</x:v>
      </x:c>
      <x:c r="C25" s="23" t="str">
        <x:v>What You Learn</x:v>
      </x:c>
      <x:c r="D25" s="23" t="str">
        <x:v>Strong Buying Signal</x:v>
      </x:c>
      <x:c r="E25" s="23" t="str">
        <x:v>Warning Signal</x:v>
      </x:c>
    </x:row>
    <x:row r="26">
      <x:c r="A26" s="37" t="n">
        <x:v>1</x:v>
      </x:c>
      <x:c r="B26" s="38" t="str">
        <x:v>How many inquiries do you receive in a normal week or month?</x:v>
      </x:c>
      <x:c r="C26" s="38" t="str">
        <x:v>Volume</x:v>
      </x:c>
      <x:c r="D26" s="38" t="str">
        <x:v>Repeated flow with meaningful volume</x:v>
      </x:c>
      <x:c r="E26" s="39" t="str">
        <x:v>Cannot estimate and does not care</x:v>
      </x:c>
    </x:row>
    <x:row r="27">
      <x:c r="A27" s="40" t="n">
        <x:v>2</x:v>
      </x:c>
      <x:c r="B27" s="41" t="str">
        <x:v>How quickly does someone respond to a new inquiry?</x:v>
      </x:c>
      <x:c r="C27" s="41" t="str">
        <x:v>Response process</x:v>
      </x:c>
      <x:c r="D27" s="41" t="str">
        <x:v>Delay or inconsistent ownership</x:v>
      </x:c>
      <x:c r="E27" s="42" t="str">
        <x:v>Already instant and measured</x:v>
      </x:c>
    </x:row>
    <x:row r="28">
      <x:c r="A28" s="40" t="n">
        <x:v>3</x:v>
      </x:c>
      <x:c r="B28" s="41" t="str">
        <x:v>How are assessments or trials booked?</x:v>
      </x:c>
      <x:c r="C28" s="41" t="str">
        <x:v>Scheduling handoff</x:v>
      </x:c>
      <x:c r="D28" s="41" t="str">
        <x:v>Calls, spreadsheets or back-and-forth</x:v>
      </x:c>
      <x:c r="E28" s="42" t="str">
        <x:v>Fully self-service and reliable</x:v>
      </x:c>
    </x:row>
    <x:row r="29">
      <x:c r="A29" s="40" t="n">
        <x:v>4</x:v>
      </x:c>
      <x:c r="B29" s="41" t="str">
        <x:v>How is level, instructor, location or class selected?</x:v>
      </x:c>
      <x:c r="C29" s="41" t="str">
        <x:v>Matching complexity</x:v>
      </x:c>
      <x:c r="D29" s="41" t="str">
        <x:v>Manual judgment repeated often</x:v>
      </x:c>
      <x:c r="E29" s="42" t="str">
        <x:v>No meaningful matching step</x:v>
      </x:c>
    </x:row>
    <x:row r="30">
      <x:c r="A30" s="40" t="n">
        <x:v>5</x:v>
      </x:c>
      <x:c r="B30" s="41" t="str">
        <x:v>What systems hold inquiry, booking, waiver and payment status?</x:v>
      </x:c>
      <x:c r="C30" s="41" t="str">
        <x:v>Tool fragmentation</x:v>
      </x:c>
      <x:c r="D30" s="41" t="str">
        <x:v>Several disconnected systems</x:v>
      </x:c>
      <x:c r="E30" s="42" t="str">
        <x:v>One system covers the workflow well</x:v>
      </x:c>
    </x:row>
    <x:row r="31">
      <x:c r="A31" s="40" t="n">
        <x:v>6</x:v>
      </x:c>
      <x:c r="B31" s="41" t="str">
        <x:v>Where does your team spend the most time chasing people or correcting information?</x:v>
      </x:c>
      <x:c r="C31" s="41" t="str">
        <x:v>Operational pain</x:v>
      </x:c>
      <x:c r="D31" s="41" t="str">
        <x:v>Specific recurring workload</x:v>
      </x:c>
      <x:c r="E31" s="42" t="str">
        <x:v>No concrete pain</x:v>
      </x:c>
    </x:row>
    <x:row r="32">
      <x:c r="A32" s="40" t="n">
        <x:v>7</x:v>
      </x:c>
      <x:c r="B32" s="41" t="str">
        <x:v>What happens to people who inquire but do not complete registration?</x:v>
      </x:c>
      <x:c r="C32" s="41" t="str">
        <x:v>Recovery process</x:v>
      </x:c>
      <x:c r="D32" s="41" t="str">
        <x:v>No owner or systematic follow-up</x:v>
      </x:c>
      <x:c r="E32" s="42" t="str">
        <x:v>Strong measured recovery process</x:v>
      </x:c>
    </x:row>
    <x:row r="33">
      <x:c r="A33" s="40" t="n">
        <x:v>8</x:v>
      </x:c>
      <x:c r="B33" s="41" t="str">
        <x:v>What is one additional enrollment or retained customer worth?</x:v>
      </x:c>
      <x:c r="C33" s="41" t="str">
        <x:v>Economic value</x:v>
      </x:c>
      <x:c r="D33" s="41" t="str">
        <x:v>Audit can pay back quickly</x:v>
      </x:c>
      <x:c r="E33" s="42" t="str">
        <x:v>Value too low for a paid engagement</x:v>
      </x:c>
    </x:row>
    <x:row r="34">
      <x:c r="A34" s="40" t="n">
        <x:v>9</x:v>
      </x:c>
      <x:c r="B34" s="41" t="str">
        <x:v>Who would approve a $400 diagnostic or implementation project?</x:v>
      </x:c>
      <x:c r="C34" s="41" t="str">
        <x:v>Authority</x:v>
      </x:c>
      <x:c r="D34" s="41" t="str">
        <x:v>Buyer is present or accessible</x:v>
      </x:c>
      <x:c r="E34" s="42" t="str">
        <x:v>No path to decision maker</x:v>
      </x:c>
    </x:row>
    <x:row r="35">
      <x:c r="A35" s="40" t="n">
        <x:v>10</x:v>
      </x:c>
      <x:c r="B35" s="41" t="str">
        <x:v>If we found a worthwhile fix, when would you want it implemented?</x:v>
      </x:c>
      <x:c r="C35" s="41" t="str">
        <x:v>Urgency</x:v>
      </x:c>
      <x:c r="D35" s="41" t="str">
        <x:v>This month/quarter</x:v>
      </x:c>
      <x:c r="E35" s="42" t="str">
        <x:v>No urgency or budget window</x:v>
      </x:c>
    </x:row>
    <x:row r="37" ht="19.5" customHeight="1">
      <x:c r="A37" s="57" t="str">
        <x:v>Messages and Close</x:v>
      </x:c>
      <x:c r="B37" s="57"/>
      <x:c r="C37" s="57"/>
      <x:c r="D37" s="57"/>
      <x:c r="E37" s="57"/>
    </x:row>
    <x:row r="38" ht="30" customHeight="1">
      <x:c r="A38" s="71" t="str">
        <x:v>Stage</x:v>
      </x:c>
      <x:c r="B38" s="71" t="str">
        <x:v>Message</x:v>
      </x:c>
      <x:c r="C38" s="71" t="str">
        <x:v>Goal</x:v>
      </x:c>
      <x:c r="D38" s="71" t="str">
        <x:v>Next Step</x:v>
      </x:c>
      <x:c r="E38" s="71" t="str">
        <x:v>Rule</x:v>
      </x:c>
    </x:row>
    <x:row r="39">
      <x:c r="A39" s="37" t="str">
        <x:v>Cold opener</x:v>
      </x:c>
      <x:c r="B39" s="38" t="str">
        <x:v>Hi [Name], I run SwimBuddz and build backend/workflow systems. I reviewed the public enrollment path for [location] and noticed [specific observation]. There may be a manual handoff between [step] and [step]. Would it be useful if I sent one short observation showing what I mean?</x:v>
      </x:c>
      <x:c r="C39" s="38" t="str">
        <x:v>Permission</x:v>
      </x:c>
      <x:c r="D39" s="38" t="str">
        <x:v>Send one observation</x:v>
      </x:c>
      <x:c r="E39" s="39" t="str">
        <x:v>No full free audit</x:v>
      </x:c>
    </x:row>
    <x:row r="40">
      <x:c r="A40" s="40" t="str">
        <x:v>After interest</x:v>
      </x:c>
      <x:c r="B40" s="41" t="str">
        <x:v>There may be two or three related points in the full workflow. Before recommending automation, I would want to understand how your team handles inquiries, assessments and follow-up. Are you open to a 15-minute call this week?</x:v>
      </x:c>
      <x:c r="C40" s="41" t="str">
        <x:v>Discovery call</x:v>
      </x:c>
      <x:c r="D40" s="41" t="str">
        <x:v>Offer two times</x:v>
      </x:c>
      <x:c r="E40" s="42" t="str">
        <x:v>Ask directly</x:v>
      </x:c>
    </x:row>
    <x:row r="41">
      <x:c r="A41" s="40" t="str">
        <x:v>Paid audit close</x:v>
      </x:c>
      <x:c r="B41" s="41" t="str">
        <x:v>Based on what you described, I would start with a 48-hour Lead-to-Enrollment Leak Audit. I will map the current journey, identify the main leak and admin points, recommend quick wins, and give you a scoped implementation plan. It is $400 paid upfront, and I credit it toward a sprint started within 30 days. Shall I send the scope and payment link?</x:v>
      </x:c>
      <x:c r="C41" s="41" t="str">
        <x:v>Payment</x:v>
      </x:c>
      <x:c r="D41" s="41" t="str">
        <x:v>Send scope and invoice</x:v>
      </x:c>
      <x:c r="E41" s="42" t="str">
        <x:v>Do not end with 'let me know'</x:v>
      </x:c>
    </x:row>
    <x:row r="42">
      <x:c r="A42" s="40" t="str">
        <x:v>Sprint close</x:v>
      </x:c>
      <x:c r="B42" s="41" t="str">
        <x:v>The sprint will improve one workflow end to end: [workflow]. It includes [deliverables], implementation, error handling and handover. Timeline is 10 business days. Price is [amount], with a 50% deposit to reserve the delivery window.</x:v>
      </x:c>
      <x:c r="C42" s="41" t="str">
        <x:v>Deposit</x:v>
      </x:c>
      <x:c r="D42" s="41" t="str">
        <x:v>Send proposal</x:v>
      </x:c>
      <x:c r="E42" s="42" t="str">
        <x:v>One workflow only</x:v>
      </x:c>
    </x:row>
    <x:row r="43">
      <x:c r="A43" s="40" t="str">
        <x:v>No reply</x:v>
      </x:c>
      <x:c r="B43" s="41" t="str">
        <x:v>Quick follow-up: is [specific workflow] currently a real operational problem for your team, or is it already handled well enough?</x:v>
      </x:c>
      <x:c r="C43" s="41" t="str">
        <x:v>Useful answer</x:v>
      </x:c>
      <x:c r="D43" s="41" t="str">
        <x:v>Close or schedule</x:v>
      </x:c>
      <x:c r="E43" s="42" t="str">
        <x:v>Follow up once or twice, then move on</x:v>
      </x:c>
    </x:row>
  </x:sheetData>
  <x:mergeCells>
    <x:mergeCell ref="A1:E1"/>
    <x:mergeCell ref="A2:E2"/>
    <x:mergeCell ref="A4:E4"/>
    <x:mergeCell ref="A15:E15"/>
    <x:mergeCell ref="A24:E24"/>
    <x:mergeCell ref="A37:E3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3.889999389648438" hidden="0" customWidth="1"/>
    <x:col min="3" max="3" width="11.109999656677246" hidden="0" customWidth="1"/>
    <x:col min="4" max="4" width="31.110000610351562" hidden="0" customWidth="1"/>
    <x:col min="5" max="5" width="24.440000534057617" hidden="0" customWidth="1"/>
    <x:col min="6" max="6" width="23.329999923706055" hidden="0" customWidth="1"/>
    <x:col min="7" max="7" width="20.559999465942383" hidden="0" customWidth="1"/>
  </x:cols>
  <x:sheetData>
    <x:row r="1" ht="25.5" customHeight="1">
      <x:c r="A1" s="50" t="str">
        <x:v>Immediate Cash Allocation: July 14-31</x:v>
      </x:c>
      <x:c r="B1" s="50"/>
      <x:c r="C1" s="50"/>
      <x:c r="D1" s="50"/>
      <x:c r="E1" s="50"/>
      <x:c r="F1" s="50"/>
      <x:c r="G1" s="50"/>
    </x:row>
    <x:row r="2" ht="24" customHeight="1">
      <x:c r="A2" s="54" t="str">
        <x:v>The strategy is diversified but not equal-weighted. Protect most of your time for trusted conversations and paid asks; cap speculative platform and research time.</x:v>
      </x:c>
      <x:c r="B2" s="54"/>
      <x:c r="C2" s="54"/>
      <x:c r="D2" s="54"/>
      <x:c r="E2" s="54"/>
      <x:c r="F2" s="54"/>
      <x:c r="G2" s="54"/>
    </x:row>
    <x:row r="4" ht="19.5" customHeight="1">
      <x:c r="A4" s="57" t="str">
        <x:v>Daily Time Allocation</x:v>
      </x:c>
      <x:c r="B4" s="57"/>
      <x:c r="C4" s="57"/>
      <x:c r="D4" s="57"/>
      <x:c r="E4" s="57"/>
      <x:c r="F4" s="57"/>
      <x:c r="G4" s="57"/>
    </x:row>
    <x:row r="5" ht="30" customHeight="1">
      <x:c r="A5" s="23" t="str">
        <x:v>Priority</x:v>
      </x:c>
      <x:c r="B5" s="23" t="str">
        <x:v>Path</x:v>
      </x:c>
      <x:c r="C5" s="23" t="str">
        <x:v>Time Share</x:v>
      </x:c>
      <x:c r="D5" s="23" t="str">
        <x:v>Daily Minimum Output</x:v>
      </x:c>
      <x:c r="E5" s="23" t="str">
        <x:v>Revenue Mechanism</x:v>
      </x:c>
      <x:c r="F5" s="23" t="str">
        <x:v>Deadline Role</x:v>
      </x:c>
      <x:c r="G5" s="23" t="str">
        <x:v>Stop / Continue Rule</x:v>
      </x:c>
    </x:row>
    <x:row r="6">
      <x:c r="A6" s="37" t="n">
        <x:v>1</x:v>
      </x:c>
      <x:c r="B6" s="38" t="str">
        <x:v>Warm-network tech/ops</x:v>
      </x:c>
      <x:c r="C6" s="95" t="n">
        <x:v>0.5</x:v>
      </x:c>
      <x:c r="D6" s="38" t="str">
        <x:v>10 direct asks/follow-ups + all active calls</x:v>
      </x:c>
      <x:c r="E6" s="38" t="str">
        <x:v>$400 audit or $1.5k-$2.5k sprint</x:v>
      </x:c>
      <x:c r="F6" s="38" t="str">
        <x:v>Primary</x:v>
      </x:c>
      <x:c r="G6" s="39" t="str">
        <x:v>Continue until every credible warm path has a next action.</x:v>
      </x:c>
    </x:row>
    <x:row r="7">
      <x:c r="A7" s="40" t="n">
        <x:v>2</x:v>
      </x:c>
      <x:c r="B7" s="41" t="str">
        <x:v>Agency subcontracting + high-fit platform jobs</x:v>
      </x:c>
      <x:c r="C7" s="96" t="n">
        <x:v>0.25</x:v>
      </x:c>
      <x:c r="D7" s="41" t="str">
        <x:v>2 agency asks + 3 highly matched applications</x:v>
      </x:c>
      <x:c r="E7" s="41" t="str">
        <x:v>Hourly, fixed project or sprint</x:v>
      </x:c>
      <x:c r="F7" s="41" t="str">
        <x:v>Parallel cash</x:v>
      </x:c>
      <x:c r="G7" s="42" t="str">
        <x:v>Cap at 90 minutes/day until replies, interviews or tasks appear.</x:v>
      </x:c>
    </x:row>
    <x:row r="8">
      <x:c r="A8" s="40" t="n">
        <x:v>3</x:v>
      </x:c>
      <x:c r="B8" s="41" t="str">
        <x:v>Swim/sports research and outreach</x:v>
      </x:c>
      <x:c r="C8" s="96" t="n">
        <x:v>0.15</x:v>
      </x:c>
      <x:c r="D8" s="41" t="str">
        <x:v>2 qualified reviews + 2 personalized messages</x:v>
      </x:c>
      <x:c r="E8" s="41" t="str">
        <x:v>$400 Lead-to-Enrollment Audit</x:v>
      </x:c>
      <x:c r="F8" s="41" t="str">
        <x:v>Controlled niche test</x:v>
      </x:c>
      <x:c r="G8" s="42" t="str">
        <x:v>Reduce sharply if the gate produces no replies/calls/paid interest.</x:v>
      </x:c>
    </x:row>
    <x:row r="9">
      <x:c r="A9" s="40" t="n">
        <x:v>4</x:v>
      </x:c>
      <x:c r="B9" s="41" t="str">
        <x:v>Corporate wellness / cohorts</x:v>
      </x:c>
      <x:c r="C9" s="96" t="n">
        <x:v>0.1</x:v>
      </x:c>
      <x:c r="D9" s="41" t="str">
        <x:v>Only warm follow-ups, deposits and existing leads</x:v>
      </x:c>
      <x:c r="E9" s="41" t="str">
        <x:v>Cohort payment or corporate booking</x:v>
      </x:c>
      <x:c r="F9" s="41" t="str">
        <x:v>Backup</x:v>
      </x:c>
      <x:c r="G9" s="42" t="str">
        <x:v>No broad new campaign before urgent cash stabilizes.</x:v>
      </x:c>
    </x:row>
    <x:row r="10">
      <x:c r="A10" s="40" t="n">
        <x:v>5</x:v>
      </x:c>
      <x:c r="B10" s="41" t="str">
        <x:v>StrokeLab</x:v>
      </x:c>
      <x:c r="C10" s="96" t="n">
        <x:v>0</x:v>
      </x:c>
      <x:c r="D10" s="41" t="str">
        <x:v>Use as proof only</x:v>
      </x:c>
      <x:c r="E10" s="41" t="str">
        <x:v>Supports authority</x:v>
      </x:c>
      <x:c r="F10" s="41" t="str">
        <x:v>Proof asset</x:v>
      </x:c>
      <x:c r="G10" s="42" t="str">
        <x:v>Do not spend July building new features for speculative sales.</x:v>
      </x:c>
    </x:row>
    <x:row r="12" ht="19.5" customHeight="1">
      <x:c r="A12" s="57" t="str">
        <x:v>Revenue Combinations</x:v>
      </x:c>
      <x:c r="B12" s="57"/>
      <x:c r="C12" s="57"/>
      <x:c r="D12" s="57"/>
      <x:c r="E12" s="57"/>
      <x:c r="F12" s="57"/>
      <x:c r="G12" s="57"/>
    </x:row>
    <x:row r="13" ht="30" customHeight="1">
      <x:c r="A13" s="23" t="str">
        <x:v>Option</x:v>
      </x:c>
      <x:c r="B13" s="23" t="str">
        <x:v>Paid Audits</x:v>
      </x:c>
      <x:c r="C13" s="23" t="str">
        <x:v>Audit Cash</x:v>
      </x:c>
      <x:c r="D13" s="23" t="str">
        <x:v>Sprint / Deposit</x:v>
      </x:c>
      <x:c r="E13" s="23" t="str">
        <x:v>Other Cash</x:v>
      </x:c>
      <x:c r="F13" s="23" t="str">
        <x:v>Total</x:v>
      </x:c>
      <x:c r="G13" s="23" t="str">
        <x:v>Interpretation</x:v>
      </x:c>
    </x:row>
    <x:row r="14">
      <x:c r="A14" s="37" t="str">
        <x:v>A</x:v>
      </x:c>
      <x:c r="B14" s="38" t="n">
        <x:v>0</x:v>
      </x:c>
      <x:c r="C14" s="97" t="n">
        <x:v>0</x:v>
      </x:c>
      <x:c r="D14" s="97" t="n">
        <x:v>2000</x:v>
      </x:c>
      <x:c r="E14" s="97" t="n">
        <x:v>0</x:v>
      </x:c>
      <x:c r="F14" s="97" t="n">
        <x:f>C14+D14+E14</x:f>
        <x:v>2000</x:v>
      </x:c>
      <x:c r="G14" s="39" t="str">
        <x:v>One full sprint closes the target.</x:v>
      </x:c>
    </x:row>
    <x:row r="15">
      <x:c r="A15" s="40" t="str">
        <x:v>B</x:v>
      </x:c>
      <x:c r="B15" s="41" t="n">
        <x:v>1</x:v>
      </x:c>
      <x:c r="C15" s="94" t="n">
        <x:v>400</x:v>
      </x:c>
      <x:c r="D15" s="94" t="n">
        <x:v>1500</x:v>
      </x:c>
      <x:c r="E15" s="94" t="n">
        <x:v>100</x:v>
      </x:c>
      <x:c r="F15" s="94" t="n">
        <x:f>C15+D15+E15</x:f>
        <x:v>2000</x:v>
      </x:c>
      <x:c r="G15" s="42" t="str">
        <x:v>One sprint plus one audit and small additional cash.</x:v>
      </x:c>
    </x:row>
    <x:row r="16">
      <x:c r="A16" s="40" t="str">
        <x:v>C</x:v>
      </x:c>
      <x:c r="B16" s="41" t="n">
        <x:v>5</x:v>
      </x:c>
      <x:c r="C16" s="94" t="n">
        <x:v>2000</x:v>
      </x:c>
      <x:c r="D16" s="94" t="n">
        <x:v>0</x:v>
      </x:c>
      <x:c r="E16" s="94" t="n">
        <x:v>0</x:v>
      </x:c>
      <x:c r="F16" s="94" t="n">
        <x:f>C16+D16+E16</x:f>
        <x:v>2000</x:v>
      </x:c>
      <x:c r="G16" s="42" t="str">
        <x:v>Five paid audits; requires a high conversation volume.</x:v>
      </x:c>
    </x:row>
    <x:row r="17">
      <x:c r="A17" s="40" t="str">
        <x:v>D</x:v>
      </x:c>
      <x:c r="B17" s="41" t="n">
        <x:v>2</x:v>
      </x:c>
      <x:c r="C17" s="94" t="n">
        <x:v>800</x:v>
      </x:c>
      <x:c r="D17" s="94" t="n">
        <x:v>1000</x:v>
      </x:c>
      <x:c r="E17" s="94" t="n">
        <x:v>200</x:v>
      </x:c>
      <x:c r="F17" s="94" t="n">
        <x:f>C17+D17+E17</x:f>
        <x:v>2000</x:v>
      </x:c>
      <x:c r="G17" s="42" t="str">
        <x:v>Two audits plus a project deposit and smaller work.</x:v>
      </x:c>
    </x:row>
    <x:row r="19" ht="19.5" customHeight="1">
      <x:c r="A19" s="57" t="str">
        <x:v>Daily Operating Sequence</x:v>
      </x:c>
      <x:c r="B19" s="57"/>
      <x:c r="C19" s="57"/>
      <x:c r="D19" s="57"/>
      <x:c r="E19" s="57"/>
      <x:c r="F19" s="57"/>
      <x:c r="G19" s="57"/>
    </x:row>
    <x:row r="20" ht="30" customHeight="1">
      <x:c r="A20" s="71" t="str">
        <x:v>Order</x:v>
      </x:c>
      <x:c r="B20" s="71" t="str">
        <x:v>Block</x:v>
      </x:c>
      <x:c r="C20" s="71" t="str">
        <x:v>Time Cap</x:v>
      </x:c>
      <x:c r="D20" s="71" t="str">
        <x:v>Action</x:v>
      </x:c>
      <x:c r="E20" s="71" t="str">
        <x:v>Success Measure</x:v>
      </x:c>
      <x:c r="F20" s="71" t="str">
        <x:v>If Blocked</x:v>
      </x:c>
      <x:c r="G20" s="71" t="str">
        <x:v>Where To Record</x:v>
      </x:c>
    </x:row>
    <x:row r="21">
      <x:c r="A21" s="37" t="n">
        <x:v>1</x:v>
      </x:c>
      <x:c r="B21" s="38" t="str">
        <x:v>Replies and follow-ups</x:v>
      </x:c>
      <x:c r="C21" s="38" t="str">
        <x:v>45 min</x:v>
      </x:c>
      <x:c r="D21" s="38" t="str">
        <x:v>Move every live conversation to a call, paid audit, proposal or clear no</x:v>
      </x:c>
      <x:c r="E21" s="38" t="str">
        <x:v>Next action on every live lead</x:v>
      </x:c>
      <x:c r="F21" s="38" t="str">
        <x:v>Offer two call times</x:v>
      </x:c>
      <x:c r="G21" s="39" t="str">
        <x:v>Pipeline Tracker</x:v>
      </x:c>
    </x:row>
    <x:row r="22">
      <x:c r="A22" s="40" t="n">
        <x:v>2</x:v>
      </x:c>
      <x:c r="B22" s="41" t="str">
        <x:v>Warm direct asks</x:v>
      </x:c>
      <x:c r="C22" s="41" t="str">
        <x:v>75 min</x:v>
      </x:c>
      <x:c r="D22" s="41" t="str">
        <x:v>Send specific asks to people who know your work</x:v>
      </x:c>
      <x:c r="E22" s="41" t="str">
        <x:v>10 quality touches</x:v>
      </x:c>
      <x:c r="F22" s="41" t="str">
        <x:v>Ask for one introduction</x:v>
      </x:c>
      <x:c r="G22" s="42" t="str">
        <x:v>Pipeline Tracker</x:v>
      </x:c>
    </x:row>
    <x:row r="23">
      <x:c r="A23" s="40" t="n">
        <x:v>3</x:v>
      </x:c>
      <x:c r="B23" s="41" t="str">
        <x:v>Calls/proposals/delivery</x:v>
      </x:c>
      <x:c r="C23" s="41" t="str">
        <x:v>90 min</x:v>
      </x:c>
      <x:c r="D23" s="41" t="str">
        <x:v>Hold calls, send scopes, collect deposits or deliver paid work</x:v>
      </x:c>
      <x:c r="E23" s="41" t="str">
        <x:v>Cash-stage movement</x:v>
      </x:c>
      <x:c r="F23" s="41" t="str">
        <x:v>Create a concise scope</x:v>
      </x:c>
      <x:c r="G23" s="42" t="str">
        <x:v>Pipeline Tracker + Daily Metrics</x:v>
      </x:c>
    </x:row>
    <x:row r="24">
      <x:c r="A24" s="40" t="n">
        <x:v>4</x:v>
      </x:c>
      <x:c r="B24" s="41" t="str">
        <x:v>Platforms/agencies</x:v>
      </x:c>
      <x:c r="C24" s="41" t="str">
        <x:v>60-90 min</x:v>
      </x:c>
      <x:c r="D24" s="41" t="str">
        <x:v>Apply only where your proof strongly matches</x:v>
      </x:c>
      <x:c r="E24" s="41" t="str">
        <x:v>3 strong applications + 2 agency asks</x:v>
      </x:c>
      <x:c r="F24" s="41" t="str">
        <x:v>Stop browsing after the cap</x:v>
      </x:c>
      <x:c r="G24" s="42" t="str">
        <x:v>Platform Tracker</x:v>
      </x:c>
    </x:row>
    <x:row r="25">
      <x:c r="A25" s="40" t="n">
        <x:v>5</x:v>
      </x:c>
      <x:c r="B25" s="41" t="str">
        <x:v>Swim niche</x:v>
      </x:c>
      <x:c r="C25" s="41" t="str">
        <x:v>30-45 min</x:v>
      </x:c>
      <x:c r="D25" s="41" t="str">
        <x:v>Research and contact two qualified local operators</x:v>
      </x:c>
      <x:c r="E25" s="41" t="str">
        <x:v>2 reviews + 2 messages</x:v>
      </x:c>
      <x:c r="F25" s="41" t="str">
        <x:v>Replace weak seed companies</x:v>
      </x:c>
      <x:c r="G25" s="42" t="str">
        <x:v>Swim Research</x:v>
      </x:c>
    </x:row>
    <x:row r="26">
      <x:c r="A26" s="40" t="n">
        <x:v>6</x:v>
      </x:c>
      <x:c r="B26" s="41" t="str">
        <x:v>Daily score</x:v>
      </x:c>
      <x:c r="C26" s="41" t="str">
        <x:v>15 min</x:v>
      </x:c>
      <x:c r="D26" s="41" t="str">
        <x:v>Record replies, calls, proposals, cash and market signal</x:v>
      </x:c>
      <x:c r="E26" s="41" t="str">
        <x:v>Metrics completed</x:v>
      </x:c>
      <x:c r="F26" s="41" t="str">
        <x:v>Write the next adjustment</x:v>
      </x:c>
      <x:c r="G26" s="42" t="str">
        <x:v>Daily Metrics</x:v>
      </x:c>
    </x:row>
  </x:sheetData>
  <x:mergeCells>
    <x:mergeCell ref="A1:G1"/>
    <x:mergeCell ref="A2:G2"/>
    <x:mergeCell ref="A4:G4"/>
    <x:mergeCell ref="A12:G12"/>
    <x:mergeCell ref="A19:G19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8.889999389648438" hidden="0" customWidth="1"/>
    <x:col min="3" max="3" width="24.440000534057617" hidden="0" customWidth="1"/>
    <x:col min="4" max="4" width="26.110000610351562" hidden="0" customWidth="1"/>
    <x:col min="5" max="5" width="27.780000686645508" hidden="0" customWidth="1"/>
    <x:col min="6" max="6" width="32.220001220703125" hidden="0" customWidth="1"/>
    <x:col min="7" max="7" width="14.4399995803833" hidden="0" customWidth="1"/>
    <x:col min="8" max="8" width="12.220000267028809" hidden="0" customWidth="1"/>
    <x:col min="9" max="9" width="24.440000534057617" hidden="0" customWidth="1"/>
    <x:col min="10" max="10" width="36.66999816894531" hidden="0" customWidth="1"/>
  </x:cols>
  <x:sheetData>
    <x:row r="1" ht="25.5" customHeight="1">
      <x:c r="A1" s="50" t="str">
        <x:v>Nigeria-Accessible Work Platform Tracker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24" customHeight="1">
      <x:c r="A2" s="54" t="str">
        <x:v>Use genuine Nigeria location and identity information. A VPN is acceptable for privacy only when it does not misrepresent eligibility; never use it to bypass country restrictions.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4" ht="30" customHeight="1">
      <x:c r="A4" s="23" t="str">
        <x:v>Platform</x:v>
      </x:c>
      <x:c r="B4" s="23" t="str">
        <x:v>Nigeria / Location Position</x:v>
      </x:c>
      <x:c r="C4" s="23" t="str">
        <x:v>Best Fit</x:v>
      </x:c>
      <x:c r="D4" s="23" t="str">
        <x:v>Realistic Role In July</x:v>
      </x:c>
      <x:c r="E4" s="23" t="str">
        <x:v>Payment / Timing Note</x:v>
      </x:c>
      <x:c r="F4" s="23" t="str">
        <x:v>First Action</x:v>
      </x:c>
      <x:c r="G4" s="23" t="str">
        <x:v>Daily Time Cap</x:v>
      </x:c>
      <x:c r="H4" s="23" t="str">
        <x:v>Status</x:v>
      </x:c>
      <x:c r="I4" s="23" t="str">
        <x:v>Outcome / Next Step</x:v>
      </x:c>
      <x:c r="J4" s="23" t="str">
        <x:v>Official Source</x:v>
      </x:c>
    </x:row>
    <x:row r="5">
      <x:c r="A5" s="43" t="str">
        <x:v>Outlier</x:v>
      </x:c>
      <x:c r="B5" s="44" t="str">
        <x:v>Role- and location-dependent; not every registration or project accepts every country. Use Nigeria as your primary location.</x:v>
      </x:c>
      <x:c r="C5" s="44" t="str">
        <x:v>Coding, AI evaluation, backend/agent workflows</x:v>
      </x:c>
      <x:c r="D5" s="44" t="str">
        <x:v>Worth one application, but task availability is not guaranteed</x:v>
      </x:c>
      <x:c r="E5" s="44" t="str">
        <x:v>Outlier advertises weekly pay on eligible projects; onboarding, verification and project supply still apply.</x:v>
      </x:c>
      <x:c r="F5" s="44" t="str">
        <x:v>Apply only to a Global role that accepts your real residence; complete identity/location verification truthfully.</x:v>
      </x:c>
      <x:c r="G5" s="44" t="str">
        <x:v>One setup block, then 15 min/day</x:v>
      </x:c>
      <x:c r="H5" s="72" t="str">
        <x:v>Not Started</x:v>
      </x:c>
      <x:c r="I5" s="72"/>
      <x:c r="J5" s="45" t="str">
        <x:v>https://outlier.ai/legal/working-location-policy</x:v>
      </x:c>
    </x:row>
    <x:row r="6">
      <x:c r="A6" s="46" t="str">
        <x:v>Upwork</x:v>
      </x:c>
      <x:c r="B6" s="47" t="str">
        <x:v>Nigeria is supported and Nigerian freelancer pages/tax guidance are published.</x:v>
      </x:c>
      <x:c r="C6" s="47" t="str">
        <x:v>Fixed-scope backend, AI automation, integrations</x:v>
      </x:c>
      <x:c r="D6" s="47" t="str">
        <x:v>High-intent job source, but a new profile may take time to win</x:v>
      </x:c>
      <x:c r="E6" s="47" t="str">
        <x:v>Fixed-price funds generally become available after client approval plus a five-day security period.</x:v>
      </x:c>
      <x:c r="F6" s="47" t="str">
        <x:v>Build one narrow profile and submit three tailored proposals daily; use funded milestones.</x:v>
      </x:c>
      <x:c r="G6" s="47" t="str">
        <x:v>60 min/day</x:v>
      </x:c>
      <x:c r="H6" s="73" t="str">
        <x:v>Not Started</x:v>
      </x:c>
      <x:c r="I6" s="73"/>
      <x:c r="J6" s="48" t="str">
        <x:v>https://support.upwork.com/hc/en-us/articles/15156139408147-How-VAT-works-for-freelancers-in-Nigeria</x:v>
      </x:c>
    </x:row>
    <x:row r="7">
      <x:c r="A7" s="46" t="str">
        <x:v>Andela</x:v>
      </x:c>
      <x:c r="B7" s="47" t="str">
        <x:v>Nigeria is explicitly listed as an approved region.</x:v>
      </x:c>
      <x:c r="C7" s="47" t="str">
        <x:v>Senior engineering and AI systems roles</x:v>
      </x:c>
      <x:c r="D7" s="47" t="str">
        <x:v>Good medium-term channel; screening and matching make it unreliable for immediate cash</x:v>
      </x:c>
      <x:c r="E7" s="47" t="str">
        <x:v>Engagement payment follows matching and contracting, not instant task access.</x:v>
      </x:c>
      <x:c r="F7" s="47" t="str">
        <x:v>Apply once, complete the assessment and interview honestly, then monitor matches.</x:v>
      </x:c>
      <x:c r="G7" s="47" t="str">
        <x:v>One application block</x:v>
      </x:c>
      <x:c r="H7" s="73" t="str">
        <x:v>Not Started</x:v>
      </x:c>
      <x:c r="I7" s="73"/>
      <x:c r="J7" s="48" t="str">
        <x:v>https://help.andela.com/hc/en-us/articles/32941472534035-Where-must-I-live-to-work-at-Andela</x:v>
      </x:c>
    </x:row>
    <x:row r="8">
      <x:c r="A8" s="46" t="str">
        <x:v>Contra</x:v>
      </x:c>
      <x:c r="B8" s="47" t="str">
        <x:v>Supports international contractor payments; verify your payout options during onboarding.</x:v>
      </x:c>
      <x:c r="C8" s="47" t="str">
        <x:v>Packaged audit/sprint offer and portfolio</x:v>
      </x:c>
      <x:c r="D8" s="47" t="str">
        <x:v>Useful storefront and direct-contract layer; not dependable as an instant job feed</x:v>
      </x:c>
      <x:c r="E8" s="47" t="str">
        <x:v>Contra advertises commission-free contractor earnings; payment options depend on onboarding and method.</x:v>
      </x:c>
      <x:c r="F8" s="47" t="str">
        <x:v>Publish the $400 audit and implementation sprint as two services; reuse your proof assets.</x:v>
      </x:c>
      <x:c r="G8" s="47" t="str">
        <x:v>One setup block, then 15 min/day</x:v>
      </x:c>
      <x:c r="H8" s="73" t="str">
        <x:v>Not Started</x:v>
      </x:c>
      <x:c r="I8" s="73"/>
      <x:c r="J8" s="48" t="str">
        <x:v>https://contra.com/features/global-payments</x:v>
      </x:c>
    </x:row>
    <x:row r="9">
      <x:c r="A9" s="40"/>
      <x:c r="B9" s="41"/>
      <x:c r="C9" s="41"/>
      <x:c r="D9" s="41"/>
      <x:c r="E9" s="41"/>
      <x:c r="F9" s="41"/>
      <x:c r="G9" s="41"/>
      <x:c r="H9" s="73"/>
      <x:c r="I9" s="73"/>
      <x:c r="J9" s="42"/>
    </x:row>
    <x:row r="10">
      <x:c r="A10" s="40"/>
      <x:c r="B10" s="41"/>
      <x:c r="C10" s="41"/>
      <x:c r="D10" s="41"/>
      <x:c r="E10" s="41"/>
      <x:c r="F10" s="41"/>
      <x:c r="G10" s="41"/>
      <x:c r="H10" s="73"/>
      <x:c r="I10" s="73"/>
      <x:c r="J10" s="42"/>
    </x:row>
    <x:row r="11">
      <x:c r="A11" s="40"/>
      <x:c r="B11" s="41"/>
      <x:c r="C11" s="41"/>
      <x:c r="D11" s="41"/>
      <x:c r="E11" s="41"/>
      <x:c r="F11" s="41"/>
      <x:c r="G11" s="41"/>
      <x:c r="H11" s="73"/>
      <x:c r="I11" s="73"/>
      <x:c r="J11" s="42"/>
    </x:row>
    <x:row r="12">
      <x:c r="A12" s="40"/>
      <x:c r="B12" s="41"/>
      <x:c r="C12" s="41"/>
      <x:c r="D12" s="41"/>
      <x:c r="E12" s="41"/>
      <x:c r="F12" s="41"/>
      <x:c r="G12" s="41"/>
      <x:c r="H12" s="73"/>
      <x:c r="I12" s="73"/>
      <x:c r="J12" s="42"/>
    </x:row>
    <x:row r="13">
      <x:c r="A13" s="40"/>
      <x:c r="B13" s="41"/>
      <x:c r="C13" s="41"/>
      <x:c r="D13" s="41"/>
      <x:c r="E13" s="41"/>
      <x:c r="F13" s="41"/>
      <x:c r="G13" s="41"/>
      <x:c r="H13" s="73"/>
      <x:c r="I13" s="73"/>
      <x:c r="J13" s="42"/>
    </x:row>
    <x:row r="14">
      <x:c r="A14" s="40"/>
      <x:c r="B14" s="41"/>
      <x:c r="C14" s="41"/>
      <x:c r="D14" s="41"/>
      <x:c r="E14" s="41"/>
      <x:c r="F14" s="41"/>
      <x:c r="G14" s="41"/>
      <x:c r="H14" s="73"/>
      <x:c r="I14" s="73"/>
      <x:c r="J14" s="42"/>
    </x:row>
    <x:row r="15">
      <x:c r="A15" s="40"/>
      <x:c r="B15" s="41"/>
      <x:c r="C15" s="41"/>
      <x:c r="D15" s="41"/>
      <x:c r="E15" s="41"/>
      <x:c r="F15" s="41"/>
      <x:c r="G15" s="41"/>
      <x:c r="H15" s="73"/>
      <x:c r="I15" s="73"/>
      <x:c r="J15" s="42"/>
    </x:row>
    <x:row r="16">
      <x:c r="A16" s="40"/>
      <x:c r="B16" s="41"/>
      <x:c r="C16" s="41"/>
      <x:c r="D16" s="41"/>
      <x:c r="E16" s="41"/>
      <x:c r="F16" s="41"/>
      <x:c r="G16" s="41"/>
      <x:c r="H16" s="73"/>
      <x:c r="I16" s="73"/>
      <x:c r="J16" s="42"/>
    </x:row>
    <x:row r="17">
      <x:c r="A17" s="40"/>
      <x:c r="B17" s="41"/>
      <x:c r="C17" s="41"/>
      <x:c r="D17" s="41"/>
      <x:c r="E17" s="41"/>
      <x:c r="F17" s="41"/>
      <x:c r="G17" s="41"/>
      <x:c r="H17" s="73"/>
      <x:c r="I17" s="73"/>
      <x:c r="J17" s="42"/>
    </x:row>
    <x:row r="18">
      <x:c r="A18" s="40"/>
      <x:c r="B18" s="41"/>
      <x:c r="C18" s="41"/>
      <x:c r="D18" s="41"/>
      <x:c r="E18" s="41"/>
      <x:c r="F18" s="41"/>
      <x:c r="G18" s="41"/>
      <x:c r="H18" s="73"/>
      <x:c r="I18" s="73"/>
      <x:c r="J18" s="42"/>
    </x:row>
    <x:row r="19">
      <x:c r="A19" s="40"/>
      <x:c r="B19" s="41"/>
      <x:c r="C19" s="41"/>
      <x:c r="D19" s="41"/>
      <x:c r="E19" s="41"/>
      <x:c r="F19" s="41"/>
      <x:c r="G19" s="41"/>
      <x:c r="H19" s="73"/>
      <x:c r="I19" s="73"/>
      <x:c r="J19" s="42"/>
    </x:row>
    <x:row r="20">
      <x:c r="A20" s="40"/>
      <x:c r="B20" s="41"/>
      <x:c r="C20" s="41"/>
      <x:c r="D20" s="41"/>
      <x:c r="E20" s="41"/>
      <x:c r="F20" s="41"/>
      <x:c r="G20" s="41"/>
      <x:c r="H20" s="73"/>
      <x:c r="I20" s="73"/>
      <x:c r="J20" s="42"/>
    </x:row>
  </x:sheetData>
  <x:mergeCells>
    <x:mergeCell ref="A1:J1"/>
    <x:mergeCell ref="A2:J2"/>
  </x:mergeCells>
  <x:dataValidations count="1">
    <x:dataValidation type="list" sqref="H5:H20">
      <x:formula1>"Not Started,Applied,Assessment,Interview,Active Tasks,Rejected,Paused"</x:formula1>
    </x:dataValidation>
  </x:dataValidations>
  <x:pageMargins left="0.7" right="0.7" top="0.75" bottom="0.75" header="0.3" footer="0.3"/>
</x:worksheet>
</file>